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330"/>
  <workbookPr defaultThemeVersion="166925"/>
  <mc:AlternateContent xmlns:mc="http://schemas.openxmlformats.org/markup-compatibility/2006">
    <mc:Choice Requires="x15">
      <x15ac:absPath xmlns:x15ac="http://schemas.microsoft.com/office/spreadsheetml/2010/11/ac" url="C:\Users\k\Documents\"/>
    </mc:Choice>
  </mc:AlternateContent>
  <xr:revisionPtr revIDLastSave="0" documentId="10_ncr:8100000_{EB8F0585-82A9-473A-898C-E7BD71BABBC7}" xr6:coauthVersionLast="33" xr6:coauthVersionMax="33" xr10:uidLastSave="{00000000-0000-0000-0000-000000000000}"/>
  <bookViews>
    <workbookView xWindow="0" yWindow="0" windowWidth="20490" windowHeight="8820" firstSheet="7" activeTab="11" xr2:uid="{304BB705-2E40-4787-ABCB-609E16FF8C93}"/>
  </bookViews>
  <sheets>
    <sheet name="Sheet1" sheetId="1" r:id="rId1"/>
    <sheet name="Sheet2" sheetId="2" r:id="rId2"/>
    <sheet name="Sheet3" sheetId="4" r:id="rId3"/>
    <sheet name="Sheet4" sheetId="5" r:id="rId4"/>
    <sheet name="Sheet5" sheetId="6" r:id="rId5"/>
    <sheet name="Sheet6" sheetId="7" r:id="rId6"/>
    <sheet name="Sheet7 - Sentivity Analysis" sheetId="8" r:id="rId7"/>
    <sheet name="Sheet8" sheetId="10" r:id="rId8"/>
    <sheet name="Sheet9" sheetId="12" r:id="rId9"/>
    <sheet name="Sheet10" sheetId="14" r:id="rId10"/>
    <sheet name="Monthly Ramp to Break-Even" sheetId="16" r:id="rId11"/>
    <sheet name="Sheet11" sheetId="18" r:id="rId12"/>
  </sheets>
  <definedNames>
    <definedName name="Slicer_Month">#N/A</definedName>
  </definedNames>
  <calcPr calcId="162913"/>
  <pivotCaches>
    <pivotCache cacheId="0"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5" i="12" l="1"/>
  <c r="D14" i="12"/>
  <c r="D7" i="16" l="1"/>
  <c r="D8" i="16"/>
  <c r="D9" i="16"/>
  <c r="D10" i="16"/>
  <c r="D11" i="16"/>
  <c r="D12" i="16"/>
  <c r="D13" i="16"/>
  <c r="D14" i="16"/>
  <c r="D15" i="16"/>
  <c r="D16" i="16"/>
  <c r="D17" i="16"/>
  <c r="D6" i="16"/>
  <c r="B6" i="16"/>
  <c r="B7" i="16" l="1"/>
  <c r="C6" i="14"/>
  <c r="C5" i="14"/>
  <c r="C4" i="14"/>
  <c r="C3" i="14"/>
  <c r="C2" i="14"/>
  <c r="B8" i="16" l="1"/>
  <c r="B3" i="12"/>
  <c r="F4" i="10"/>
  <c r="F3" i="10"/>
  <c r="F2" i="10"/>
  <c r="E4" i="10"/>
  <c r="D4" i="10"/>
  <c r="E2" i="10"/>
  <c r="D2" i="10"/>
  <c r="B9" i="16" l="1"/>
  <c r="C5" i="5"/>
  <c r="C6" i="16" l="1"/>
  <c r="B5" i="14"/>
  <c r="B4" i="14"/>
  <c r="B6" i="14"/>
  <c r="B3" i="14"/>
  <c r="B2" i="14"/>
  <c r="C7" i="16"/>
  <c r="E7" i="16" s="1"/>
  <c r="C8" i="16"/>
  <c r="E8" i="16" s="1"/>
  <c r="B10" i="16"/>
  <c r="C9" i="16"/>
  <c r="E9" i="16" s="1"/>
  <c r="B6" i="8"/>
  <c r="B2" i="12"/>
  <c r="B4" i="12" s="1"/>
  <c r="B4" i="8"/>
  <c r="B8" i="8"/>
  <c r="B7" i="8"/>
  <c r="B9" i="8"/>
  <c r="B5" i="8"/>
  <c r="C25" i="5"/>
  <c r="C24" i="5"/>
  <c r="C23" i="5"/>
  <c r="C22" i="5"/>
  <c r="C21" i="5"/>
  <c r="C20" i="5"/>
  <c r="C19" i="5"/>
  <c r="C18" i="5"/>
  <c r="C17" i="5"/>
  <c r="C16" i="5"/>
  <c r="C15" i="5"/>
  <c r="C14" i="5"/>
  <c r="F22" i="4"/>
  <c r="E22" i="4"/>
  <c r="D22" i="4"/>
  <c r="F21" i="4"/>
  <c r="E21" i="4"/>
  <c r="D21" i="4"/>
  <c r="F20" i="4"/>
  <c r="E20" i="4"/>
  <c r="D20" i="4"/>
  <c r="F19" i="4"/>
  <c r="E19" i="4"/>
  <c r="D19" i="4"/>
  <c r="F18" i="4"/>
  <c r="E18" i="4"/>
  <c r="D18" i="4"/>
  <c r="F17" i="4"/>
  <c r="E17" i="4"/>
  <c r="D17" i="4"/>
  <c r="F16" i="4"/>
  <c r="E16" i="4"/>
  <c r="D16" i="4"/>
  <c r="B16" i="4"/>
  <c r="F15" i="4"/>
  <c r="E15" i="4"/>
  <c r="D15" i="4"/>
  <c r="B15" i="4"/>
  <c r="E6" i="16" l="1"/>
  <c r="F6" i="16" s="1"/>
  <c r="C10" i="16"/>
  <c r="E10" i="16" s="1"/>
  <c r="B11" i="16"/>
  <c r="F14" i="4"/>
  <c r="E14" i="4"/>
  <c r="D14" i="4"/>
  <c r="B14" i="4"/>
  <c r="F13" i="4"/>
  <c r="E13" i="4"/>
  <c r="D13" i="4"/>
  <c r="B13" i="4"/>
  <c r="F12" i="4"/>
  <c r="E12" i="4"/>
  <c r="D12" i="4"/>
  <c r="B12" i="4"/>
  <c r="F11" i="4"/>
  <c r="E11" i="4"/>
  <c r="D11" i="4"/>
  <c r="C22" i="4"/>
  <c r="C21" i="4"/>
  <c r="C20" i="4"/>
  <c r="C19" i="4"/>
  <c r="C18" i="4"/>
  <c r="C17" i="4"/>
  <c r="C16" i="4"/>
  <c r="C15" i="4"/>
  <c r="C14" i="4"/>
  <c r="C13" i="4"/>
  <c r="C12" i="4"/>
  <c r="C11" i="4"/>
  <c r="G6" i="16" l="1"/>
  <c r="F7" i="16"/>
  <c r="C11" i="16"/>
  <c r="E11" i="16" s="1"/>
  <c r="B12" i="16"/>
  <c r="B14" i="5"/>
  <c r="D14" i="5" s="1"/>
  <c r="G7" i="16" l="1"/>
  <c r="F8" i="16"/>
  <c r="C12" i="16"/>
  <c r="E12" i="16" s="1"/>
  <c r="B13" i="16"/>
  <c r="B10" i="7"/>
  <c r="E14" i="5"/>
  <c r="B15" i="5"/>
  <c r="D15" i="5" s="1"/>
  <c r="G8" i="16" l="1"/>
  <c r="F9" i="16"/>
  <c r="C13" i="16"/>
  <c r="E13" i="16" s="1"/>
  <c r="B14" i="16"/>
  <c r="B11" i="7"/>
  <c r="E15" i="5"/>
  <c r="C11" i="7" s="1"/>
  <c r="F14" i="5"/>
  <c r="G14" i="5" s="1"/>
  <c r="D10" i="7" s="1"/>
  <c r="C10" i="7"/>
  <c r="B16" i="5"/>
  <c r="D16" i="5" s="1"/>
  <c r="G9" i="16" l="1"/>
  <c r="F10" i="16"/>
  <c r="F11" i="16" s="1"/>
  <c r="F12" i="16" s="1"/>
  <c r="F13" i="16" s="1"/>
  <c r="B15" i="16"/>
  <c r="C14" i="16"/>
  <c r="E14" i="16" s="1"/>
  <c r="F15" i="5"/>
  <c r="G15" i="5" s="1"/>
  <c r="D11" i="7" s="1"/>
  <c r="B12" i="7"/>
  <c r="E16" i="5"/>
  <c r="F16" i="5" s="1"/>
  <c r="G16" i="5" s="1"/>
  <c r="D12" i="7" s="1"/>
  <c r="B17" i="5"/>
  <c r="D17" i="5" s="1"/>
  <c r="F14" i="16" l="1"/>
  <c r="B16" i="16"/>
  <c r="C15" i="16"/>
  <c r="E15" i="16" s="1"/>
  <c r="F15" i="16" s="1"/>
  <c r="B13" i="7"/>
  <c r="E17" i="5"/>
  <c r="C13" i="7" s="1"/>
  <c r="C12" i="7"/>
  <c r="B18" i="5"/>
  <c r="D18" i="5" s="1"/>
  <c r="B17" i="16" l="1"/>
  <c r="C17" i="16" s="1"/>
  <c r="E17" i="16" s="1"/>
  <c r="C16" i="16"/>
  <c r="E16" i="16" s="1"/>
  <c r="F16" i="16" s="1"/>
  <c r="F17" i="16" s="1"/>
  <c r="F17" i="5"/>
  <c r="G17" i="5" s="1"/>
  <c r="D13" i="7" s="1"/>
  <c r="B14" i="7"/>
  <c r="E18" i="5"/>
  <c r="F18" i="5" s="1"/>
  <c r="G18" i="5" s="1"/>
  <c r="D14" i="7" s="1"/>
  <c r="B19" i="5"/>
  <c r="D19" i="5" s="1"/>
  <c r="B15" i="7" l="1"/>
  <c r="E19" i="5"/>
  <c r="C15" i="7" s="1"/>
  <c r="C14" i="7"/>
  <c r="B17" i="4"/>
  <c r="F19" i="5" l="1"/>
  <c r="G19" i="5" s="1"/>
  <c r="D15" i="7" s="1"/>
  <c r="B20" i="5"/>
  <c r="D20" i="5" s="1"/>
  <c r="B18" i="4"/>
  <c r="B16" i="7" l="1"/>
  <c r="E20" i="5"/>
  <c r="F20" i="5" s="1"/>
  <c r="G20" i="5" s="1"/>
  <c r="D16" i="7" s="1"/>
  <c r="B21" i="5"/>
  <c r="D21" i="5" s="1"/>
  <c r="B17" i="7" l="1"/>
  <c r="E21" i="5"/>
  <c r="C17" i="7" s="1"/>
  <c r="C16" i="7"/>
  <c r="B19" i="4"/>
  <c r="F21" i="5" l="1"/>
  <c r="G21" i="5" s="1"/>
  <c r="D17" i="7" s="1"/>
  <c r="B22" i="5"/>
  <c r="D22" i="5" s="1"/>
  <c r="B20" i="4"/>
  <c r="B18" i="7" l="1"/>
  <c r="E22" i="5"/>
  <c r="C18" i="7" s="1"/>
  <c r="B23" i="5"/>
  <c r="D23" i="5" s="1"/>
  <c r="B21" i="4"/>
  <c r="F22" i="5" l="1"/>
  <c r="G22" i="5" s="1"/>
  <c r="D18" i="7" s="1"/>
  <c r="B19" i="7"/>
  <c r="E23" i="5"/>
  <c r="C19" i="7" s="1"/>
  <c r="B24" i="5"/>
  <c r="D24" i="5" s="1"/>
  <c r="B20" i="7" l="1"/>
  <c r="E24" i="5"/>
  <c r="C20" i="7" s="1"/>
  <c r="F23" i="5"/>
  <c r="G23" i="5" s="1"/>
  <c r="D19" i="7" s="1"/>
  <c r="B22" i="4"/>
  <c r="F24" i="5" l="1"/>
  <c r="G24" i="5" s="1"/>
  <c r="D20" i="7" s="1"/>
  <c r="B25" i="5"/>
  <c r="D25" i="5" s="1"/>
  <c r="B21" i="7" l="1"/>
  <c r="E25" i="5"/>
  <c r="F25" i="5" s="1"/>
  <c r="G25" i="5" l="1"/>
  <c r="D21" i="7" s="1"/>
  <c r="C2" i="6"/>
  <c r="A5" i="7" s="1"/>
  <c r="C21" i="7"/>
  <c r="C3" i="6"/>
  <c r="B5" i="7" s="1"/>
  <c r="C4" i="6" l="1"/>
  <c r="C5" i="6" l="1"/>
  <c r="D5" i="7" s="1"/>
  <c r="C5" i="7"/>
  <c r="C4" i="8" l="1"/>
</calcChain>
</file>

<file path=xl/sharedStrings.xml><?xml version="1.0" encoding="utf-8"?>
<sst xmlns="http://schemas.openxmlformats.org/spreadsheetml/2006/main" count="203" uniqueCount="122">
  <si>
    <t>Field</t>
  </si>
  <si>
    <t>Value</t>
  </si>
  <si>
    <t>Model Name</t>
  </si>
  <si>
    <t>Version</t>
  </si>
  <si>
    <t>Prepared For</t>
  </si>
  <si>
    <t>Prepared By</t>
  </si>
  <si>
    <t>Date</t>
  </si>
  <si>
    <t>Notes</t>
  </si>
  <si>
    <t>All inputs are in blue, formulas in black</t>
  </si>
  <si>
    <t>Time Settings</t>
  </si>
  <si>
    <t>Item</t>
  </si>
  <si>
    <t>Model Start Date</t>
  </si>
  <si>
    <t>Model Periods (Months)</t>
  </si>
  <si>
    <t>Revenue Assumptions</t>
  </si>
  <si>
    <t>Price per Unit</t>
  </si>
  <si>
    <t>Starting Units Sold (Month 1)</t>
  </si>
  <si>
    <t>Monthly Growth Rate</t>
  </si>
  <si>
    <t>Cost Assumptions</t>
  </si>
  <si>
    <t>Tax &amp; Finance</t>
  </si>
  <si>
    <t>Tax Rate</t>
  </si>
  <si>
    <t>Cost per Unit</t>
  </si>
  <si>
    <t>Fixed Operating Costs</t>
  </si>
  <si>
    <t>Staff Salaries</t>
  </si>
  <si>
    <t>Marketing Spend</t>
  </si>
  <si>
    <t>Starting Cash</t>
  </si>
  <si>
    <t>Month</t>
  </si>
  <si>
    <t>Jan</t>
  </si>
  <si>
    <t>Feb</t>
  </si>
  <si>
    <t>Mar</t>
  </si>
  <si>
    <t>Apr</t>
  </si>
  <si>
    <t>May</t>
  </si>
  <si>
    <t>Jun</t>
  </si>
  <si>
    <t>Jul</t>
  </si>
  <si>
    <t>Aug</t>
  </si>
  <si>
    <t>Sep</t>
  </si>
  <si>
    <t>Oct</t>
  </si>
  <si>
    <t>Nov</t>
  </si>
  <si>
    <t>Dec</t>
  </si>
  <si>
    <t>Driver</t>
  </si>
  <si>
    <t xml:space="preserve">Cell </t>
  </si>
  <si>
    <t>Customer growth rate</t>
  </si>
  <si>
    <t>Price per unit</t>
  </si>
  <si>
    <t>Units per customer</t>
  </si>
  <si>
    <t>Conversion rate</t>
  </si>
  <si>
    <t>Churn rate</t>
  </si>
  <si>
    <t>C5</t>
  </si>
  <si>
    <t>C6</t>
  </si>
  <si>
    <t>C7</t>
  </si>
  <si>
    <t>C8</t>
  </si>
  <si>
    <t>Starting Customers</t>
  </si>
  <si>
    <t>Growth Rate</t>
  </si>
  <si>
    <t>New Customers</t>
  </si>
  <si>
    <t>Churn</t>
  </si>
  <si>
    <t>Ending Customers</t>
  </si>
  <si>
    <t>Units per Customer</t>
  </si>
  <si>
    <t>Discount Rate</t>
  </si>
  <si>
    <t>ARPU</t>
  </si>
  <si>
    <t>Cell</t>
  </si>
  <si>
    <t>Fixed operating cost per month</t>
  </si>
  <si>
    <t>Marketing cost as % of revenue</t>
  </si>
  <si>
    <t>Cost per Unit (COGS)</t>
  </si>
  <si>
    <t>KPI</t>
  </si>
  <si>
    <t>Formula</t>
  </si>
  <si>
    <t>Total Revenue</t>
  </si>
  <si>
    <t>Total Cost</t>
  </si>
  <si>
    <t>Profit</t>
  </si>
  <si>
    <t>Profit Margin</t>
  </si>
  <si>
    <t>C2</t>
  </si>
  <si>
    <t>C3</t>
  </si>
  <si>
    <t>C4</t>
  </si>
  <si>
    <t>Monthly Revenue</t>
  </si>
  <si>
    <t>Financial Performance Dashboard</t>
  </si>
  <si>
    <t>Revenue</t>
  </si>
  <si>
    <t>Cost</t>
  </si>
  <si>
    <t>Total Profit</t>
  </si>
  <si>
    <t>Row Labels</t>
  </si>
  <si>
    <t>Grand Total</t>
  </si>
  <si>
    <t>Sensitivity Analysis - ARPU impact on Profit</t>
  </si>
  <si>
    <t>ARPU Change</t>
  </si>
  <si>
    <t>ARPU Value</t>
  </si>
  <si>
    <t xml:space="preserve">Price Change </t>
  </si>
  <si>
    <t>Low Case (-20%)</t>
  </si>
  <si>
    <t>High Case (+20%)</t>
  </si>
  <si>
    <t>Discount rate</t>
  </si>
  <si>
    <t>Low Impact</t>
  </si>
  <si>
    <t>High Impact</t>
  </si>
  <si>
    <t>Impact</t>
  </si>
  <si>
    <t>Fixed Costs</t>
  </si>
  <si>
    <t>Break-Even Customers</t>
  </si>
  <si>
    <t>Break-Even Price</t>
  </si>
  <si>
    <t>Customer</t>
  </si>
  <si>
    <t>Customers</t>
  </si>
  <si>
    <t>Break-Even Line</t>
  </si>
  <si>
    <t>Month 1</t>
  </si>
  <si>
    <t>Month 2</t>
  </si>
  <si>
    <t>Month 3</t>
  </si>
  <si>
    <t>Month 4</t>
  </si>
  <si>
    <t>Month 5</t>
  </si>
  <si>
    <t>Month 6</t>
  </si>
  <si>
    <t>Month 7</t>
  </si>
  <si>
    <t>Month 8</t>
  </si>
  <si>
    <t>Month 9</t>
  </si>
  <si>
    <t>Month 10</t>
  </si>
  <si>
    <t>Month 11</t>
  </si>
  <si>
    <t>Month 12</t>
  </si>
  <si>
    <t>Monthly Customer Growth</t>
  </si>
  <si>
    <t>Label</t>
  </si>
  <si>
    <t>Cumulative Profit</t>
  </si>
  <si>
    <t>Break-Even Flag</t>
  </si>
  <si>
    <t>Financial Model Executive Summary</t>
  </si>
  <si>
    <t xml:space="preserve">Fixed Costs (One-off) </t>
  </si>
  <si>
    <t>Break-even achieved in Month 4</t>
  </si>
  <si>
    <t>Profit Sentivity (Top Drivers)</t>
  </si>
  <si>
    <t>1. Profitability is most sensitive toPrice per Unit and ARPU</t>
  </si>
  <si>
    <t>2. Break-even occurs after achieving sustained customer growth</t>
  </si>
  <si>
    <t xml:space="preserve">3. Discounting materially delays profitability </t>
  </si>
  <si>
    <t>Key Insights &amp; Recommendations</t>
  </si>
  <si>
    <r>
      <rPr>
        <b/>
        <sz val="11"/>
        <color theme="1"/>
        <rFont val="Calibri"/>
        <family val="2"/>
        <scheme val="minor"/>
      </rPr>
      <t>Recommendation:</t>
    </r>
    <r>
      <rPr>
        <sz val="11"/>
        <color theme="1"/>
        <rFont val="Calibri"/>
        <family val="2"/>
        <scheme val="minor"/>
      </rPr>
      <t xml:space="preserve"> Focus on pricing discipline and ARPU optimization to accelerate break-even.</t>
    </r>
  </si>
  <si>
    <t>Dauda Abdullahi</t>
  </si>
  <si>
    <t>Reliance Health - Unit Economics Model</t>
  </si>
  <si>
    <t>v1.0</t>
  </si>
  <si>
    <t>Hiring Manager/ Case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</si>
</sst>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NGN]\ #,##0.00"/>
    <numFmt numFmtId="165" formatCode="0.0%"/>
  </numFmts>
  <fonts count="6" x14ac:knownFonts="1">
    <font>
      <sz val="11"/>
      <color theme="1"/>
      <name val="Calibri"/>
      <family val="2"/>
      <scheme val="minor"/>
    </font>
    <font>
      <b/>
      <sz val="16"/>
      <color theme="1"/>
      <name val="Calibri"/>
      <family val="2"/>
      <scheme val="minor"/>
    </font>
    <font>
      <b/>
      <sz val="12"/>
      <color theme="1"/>
      <name val="Calibri"/>
      <family val="2"/>
      <scheme val="minor"/>
    </font>
    <font>
      <b/>
      <sz val="11"/>
      <color theme="0"/>
      <name val="Calibri"/>
      <family val="2"/>
      <scheme val="minor"/>
    </font>
    <font>
      <b/>
      <sz val="20"/>
      <color theme="0"/>
      <name val="Calibri"/>
      <family val="2"/>
      <scheme val="minor"/>
    </font>
    <font>
      <b/>
      <sz val="11"/>
      <color theme="1"/>
      <name val="Calibri"/>
      <family val="2"/>
      <scheme val="minor"/>
    </font>
  </fonts>
  <fills count="5">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rgb="FF00B0F0"/>
        <bgColor indexed="64"/>
      </patternFill>
    </fill>
  </fills>
  <borders count="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5">
    <xf numFmtId="0" fontId="0" fillId="0" borderId="0" xfId="0"/>
    <xf numFmtId="0" fontId="1" fillId="0" borderId="0" xfId="0" applyFont="1"/>
    <xf numFmtId="0" fontId="1" fillId="0" borderId="0" xfId="0" applyFont="1" applyAlignment="1">
      <alignment horizontal="center"/>
    </xf>
    <xf numFmtId="14" fontId="0" fillId="0" borderId="0" xfId="0" applyNumberFormat="1"/>
    <xf numFmtId="9" fontId="0" fillId="0" borderId="0" xfId="0" applyNumberFormat="1"/>
    <xf numFmtId="0" fontId="2" fillId="0" borderId="0" xfId="0" applyFont="1"/>
    <xf numFmtId="0" fontId="2" fillId="2" borderId="0" xfId="0" applyFont="1" applyFill="1"/>
    <xf numFmtId="0" fontId="0" fillId="2" borderId="0" xfId="0" applyFill="1"/>
    <xf numFmtId="9" fontId="0" fillId="2" borderId="0" xfId="0" applyNumberFormat="1" applyFill="1"/>
    <xf numFmtId="0" fontId="0" fillId="3" borderId="0" xfId="0" applyFill="1"/>
    <xf numFmtId="9" fontId="0" fillId="3" borderId="0" xfId="0" applyNumberFormat="1" applyFill="1"/>
    <xf numFmtId="0" fontId="0" fillId="2" borderId="0" xfId="0" applyFont="1" applyFill="1"/>
    <xf numFmtId="10" fontId="0" fillId="2" borderId="0" xfId="0" applyNumberFormat="1" applyFill="1"/>
    <xf numFmtId="164" fontId="0" fillId="2" borderId="0" xfId="0" applyNumberFormat="1" applyFill="1"/>
    <xf numFmtId="0" fontId="0" fillId="0" borderId="0" xfId="0" applyNumberFormat="1"/>
    <xf numFmtId="0" fontId="0" fillId="2" borderId="0" xfId="0" applyNumberFormat="1" applyFill="1"/>
    <xf numFmtId="10" fontId="2" fillId="0" borderId="0" xfId="0" applyNumberFormat="1" applyFont="1"/>
    <xf numFmtId="10" fontId="0" fillId="0" borderId="0" xfId="0" applyNumberFormat="1"/>
    <xf numFmtId="165" fontId="2" fillId="0" borderId="0" xfId="0" applyNumberFormat="1" applyFont="1"/>
    <xf numFmtId="165" fontId="0" fillId="0" borderId="0" xfId="0" applyNumberFormat="1"/>
    <xf numFmtId="164" fontId="3" fillId="4" borderId="4"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164" fontId="3" fillId="4" borderId="5" xfId="0" applyNumberFormat="1" applyFont="1" applyFill="1" applyBorder="1" applyAlignment="1">
      <alignment horizontal="center" vertical="center"/>
    </xf>
    <xf numFmtId="0" fontId="3" fillId="4" borderId="3" xfId="0" applyFont="1" applyFill="1" applyBorder="1" applyAlignment="1">
      <alignment horizontal="center" vertical="center"/>
    </xf>
    <xf numFmtId="10" fontId="3" fillId="4" borderId="6" xfId="0" applyNumberFormat="1" applyFont="1" applyFill="1" applyBorder="1" applyAlignment="1">
      <alignment horizontal="center" vertical="center"/>
    </xf>
    <xf numFmtId="0" fontId="4" fillId="4" borderId="5" xfId="0" applyFont="1" applyFill="1" applyBorder="1" applyAlignment="1">
      <alignment horizontal="center" vertical="top"/>
    </xf>
    <xf numFmtId="0" fontId="0" fillId="0" borderId="0" xfId="0" pivotButton="1"/>
    <xf numFmtId="0" fontId="0" fillId="0" borderId="0" xfId="0" applyAlignment="1">
      <alignment horizontal="left"/>
    </xf>
    <xf numFmtId="164" fontId="0" fillId="0" borderId="0" xfId="0" applyNumberFormat="1"/>
    <xf numFmtId="0" fontId="2" fillId="0" borderId="0" xfId="0" applyNumberFormat="1" applyFont="1"/>
    <xf numFmtId="164" fontId="3" fillId="3" borderId="0" xfId="0" applyNumberFormat="1" applyFont="1" applyFill="1" applyBorder="1" applyAlignment="1">
      <alignment horizontal="center" vertical="center"/>
    </xf>
    <xf numFmtId="2" fontId="0" fillId="0" borderId="0" xfId="0" applyNumberFormat="1"/>
    <xf numFmtId="0" fontId="2" fillId="0" borderId="0" xfId="0" applyFont="1" applyAlignment="1"/>
    <xf numFmtId="15" fontId="0" fillId="0" borderId="0" xfId="0" applyNumberFormat="1" applyAlignment="1">
      <alignment horizontal="left"/>
    </xf>
  </cellXfs>
  <cellStyles count="1">
    <cellStyle name="Normal" xfId="0" builtinId="0"/>
  </cellStyles>
  <dxfs count="2">
    <dxf>
      <numFmt numFmtId="14" formatCode="0.00%"/>
    </dxf>
    <dxf>
      <font>
        <b/>
        <i val="0"/>
        <strike val="0"/>
        <condense val="0"/>
        <extend val="0"/>
        <outline val="0"/>
        <shadow val="0"/>
        <u val="none"/>
        <vertAlign val="baseline"/>
        <sz val="12"/>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Revenue</a:t>
            </a:r>
            <a:r>
              <a:rPr lang="en-US" b="1" baseline="0">
                <a:solidFill>
                  <a:schemeClr val="accent1">
                    <a:lumMod val="75000"/>
                  </a:schemeClr>
                </a:solidFill>
              </a:rPr>
              <a:t> Vs Cost (12 Months)</a:t>
            </a:r>
            <a:endParaRPr lang="en-US"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Sheet6!$B$9</c:f>
              <c:strCache>
                <c:ptCount val="1"/>
                <c:pt idx="0">
                  <c:v>Revenue</c:v>
                </c:pt>
              </c:strCache>
            </c:strRef>
          </c:tx>
          <c:spPr>
            <a:ln w="28575" cap="rnd">
              <a:solidFill>
                <a:schemeClr val="accent1"/>
              </a:solidFill>
              <a:round/>
            </a:ln>
            <a:effectLst/>
          </c:spPr>
          <c:marker>
            <c:symbol val="none"/>
          </c:marker>
          <c:cat>
            <c:strRef>
              <c:f>Sheet6!$A$10:$A$21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Sheet6!$B$10:$B$21</c:f>
              <c:numCache>
                <c:formatCode>General</c:formatCode>
                <c:ptCount val="12"/>
                <c:pt idx="0">
                  <c:v>37800</c:v>
                </c:pt>
                <c:pt idx="1">
                  <c:v>39690</c:v>
                </c:pt>
                <c:pt idx="2">
                  <c:v>41674.5</c:v>
                </c:pt>
                <c:pt idx="3">
                  <c:v>43758.224999999999</c:v>
                </c:pt>
                <c:pt idx="4">
                  <c:v>45946.136249999996</c:v>
                </c:pt>
                <c:pt idx="5">
                  <c:v>48243.443062499995</c:v>
                </c:pt>
                <c:pt idx="6">
                  <c:v>50655.615215624988</c:v>
                </c:pt>
                <c:pt idx="7">
                  <c:v>53188.395976406246</c:v>
                </c:pt>
                <c:pt idx="8">
                  <c:v>55847.815775226562</c:v>
                </c:pt>
                <c:pt idx="9">
                  <c:v>58640.206563987886</c:v>
                </c:pt>
                <c:pt idx="10">
                  <c:v>61572.21689218728</c:v>
                </c:pt>
                <c:pt idx="11">
                  <c:v>64650.827736796651</c:v>
                </c:pt>
              </c:numCache>
            </c:numRef>
          </c:val>
          <c:smooth val="0"/>
          <c:extLst>
            <c:ext xmlns:c16="http://schemas.microsoft.com/office/drawing/2014/chart" uri="{C3380CC4-5D6E-409C-BE32-E72D297353CC}">
              <c16:uniqueId val="{00000000-F4A7-476E-9979-73A3EB5A067B}"/>
            </c:ext>
          </c:extLst>
        </c:ser>
        <c:ser>
          <c:idx val="1"/>
          <c:order val="1"/>
          <c:tx>
            <c:strRef>
              <c:f>Sheet6!$C$9</c:f>
              <c:strCache>
                <c:ptCount val="1"/>
                <c:pt idx="0">
                  <c:v>Cost</c:v>
                </c:pt>
              </c:strCache>
            </c:strRef>
          </c:tx>
          <c:spPr>
            <a:ln w="28575" cap="rnd">
              <a:solidFill>
                <a:schemeClr val="accent2"/>
              </a:solidFill>
              <a:round/>
            </a:ln>
            <a:effectLst/>
          </c:spPr>
          <c:marker>
            <c:symbol val="none"/>
          </c:marker>
          <c:cat>
            <c:strRef>
              <c:f>Sheet6!$A$10:$A$21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Sheet6!$C$10:$C$21</c:f>
              <c:numCache>
                <c:formatCode>General</c:formatCode>
                <c:ptCount val="12"/>
                <c:pt idx="0">
                  <c:v>5780</c:v>
                </c:pt>
                <c:pt idx="1">
                  <c:v>5969</c:v>
                </c:pt>
                <c:pt idx="2">
                  <c:v>6167.45</c:v>
                </c:pt>
                <c:pt idx="3">
                  <c:v>6375.8225000000002</c:v>
                </c:pt>
                <c:pt idx="4">
                  <c:v>6594.613625</c:v>
                </c:pt>
                <c:pt idx="5">
                  <c:v>6824.34430625</c:v>
                </c:pt>
                <c:pt idx="6">
                  <c:v>7065.5615215624994</c:v>
                </c:pt>
                <c:pt idx="7">
                  <c:v>7318.8395976406246</c:v>
                </c:pt>
                <c:pt idx="8">
                  <c:v>7584.7815775226563</c:v>
                </c:pt>
                <c:pt idx="9">
                  <c:v>7864.0206563987886</c:v>
                </c:pt>
                <c:pt idx="10">
                  <c:v>8157.221689218728</c:v>
                </c:pt>
                <c:pt idx="11">
                  <c:v>8465.0827736796655</c:v>
                </c:pt>
              </c:numCache>
            </c:numRef>
          </c:val>
          <c:smooth val="0"/>
          <c:extLst>
            <c:ext xmlns:c16="http://schemas.microsoft.com/office/drawing/2014/chart" uri="{C3380CC4-5D6E-409C-BE32-E72D297353CC}">
              <c16:uniqueId val="{00000001-F4A7-476E-9979-73A3EB5A067B}"/>
            </c:ext>
          </c:extLst>
        </c:ser>
        <c:dLbls>
          <c:showLegendKey val="0"/>
          <c:showVal val="0"/>
          <c:showCatName val="0"/>
          <c:showSerName val="0"/>
          <c:showPercent val="0"/>
          <c:showBubbleSize val="0"/>
        </c:dLbls>
        <c:smooth val="0"/>
        <c:axId val="1540556848"/>
        <c:axId val="1522662144"/>
      </c:lineChart>
      <c:catAx>
        <c:axId val="154055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662144"/>
        <c:crosses val="autoZero"/>
        <c:auto val="1"/>
        <c:lblAlgn val="ctr"/>
        <c:lblOffset val="100"/>
        <c:noMultiLvlLbl val="0"/>
      </c:catAx>
      <c:valAx>
        <c:axId val="1522662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556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Monthly</a:t>
            </a:r>
            <a:r>
              <a:rPr lang="en-US" b="1" baseline="0">
                <a:solidFill>
                  <a:schemeClr val="accent1">
                    <a:lumMod val="75000"/>
                  </a:schemeClr>
                </a:solidFill>
              </a:rPr>
              <a:t> Profit</a:t>
            </a:r>
            <a:endParaRPr lang="en-US" b="1">
              <a:solidFill>
                <a:schemeClr val="accent1">
                  <a:lumMod val="75000"/>
                </a:schemeClr>
              </a:solidFill>
            </a:endParaRPr>
          </a:p>
        </c:rich>
      </c:tx>
      <c:layout>
        <c:manualLayout>
          <c:xMode val="edge"/>
          <c:yMode val="edge"/>
          <c:x val="0.34057633420822403"/>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Sheet6!$D$9</c:f>
              <c:strCache>
                <c:ptCount val="1"/>
                <c:pt idx="0">
                  <c:v>Profit Margin</c:v>
                </c:pt>
              </c:strCache>
            </c:strRef>
          </c:tx>
          <c:spPr>
            <a:solidFill>
              <a:schemeClr val="accent6"/>
            </a:solidFill>
            <a:ln>
              <a:noFill/>
            </a:ln>
            <a:effectLst/>
          </c:spPr>
          <c:invertIfNegative val="0"/>
          <c:dLbls>
            <c:delete val="1"/>
          </c:dLbls>
          <c:cat>
            <c:strRef>
              <c:f>Sheet6!$A$10:$A$21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Sheet6!$D$10:$D$21</c:f>
              <c:numCache>
                <c:formatCode>0.0%</c:formatCode>
                <c:ptCount val="12"/>
                <c:pt idx="0">
                  <c:v>0.84708994708994712</c:v>
                </c:pt>
                <c:pt idx="1">
                  <c:v>0.84960947341899717</c:v>
                </c:pt>
                <c:pt idx="2">
                  <c:v>0.85200902230380693</c:v>
                </c:pt>
                <c:pt idx="3">
                  <c:v>0.8542943069560065</c:v>
                </c:pt>
                <c:pt idx="4">
                  <c:v>0.85647076852953008</c:v>
                </c:pt>
                <c:pt idx="5">
                  <c:v>0.85854358907574291</c:v>
                </c:pt>
                <c:pt idx="6">
                  <c:v>0.86051770388165982</c:v>
                </c:pt>
                <c:pt idx="7">
                  <c:v>0.86239781322062847</c:v>
                </c:pt>
                <c:pt idx="8">
                  <c:v>0.86418839354345567</c:v>
                </c:pt>
                <c:pt idx="9">
                  <c:v>0.86589370813662447</c:v>
                </c:pt>
                <c:pt idx="10">
                  <c:v>0.86751781727297572</c:v>
                </c:pt>
                <c:pt idx="11">
                  <c:v>0.86906458787902452</c:v>
                </c:pt>
              </c:numCache>
            </c:numRef>
          </c:val>
          <c:extLst>
            <c:ext xmlns:c16="http://schemas.microsoft.com/office/drawing/2014/chart" uri="{C3380CC4-5D6E-409C-BE32-E72D297353CC}">
              <c16:uniqueId val="{00000000-B2C0-4AE1-82B2-2CE8114CAB25}"/>
            </c:ext>
          </c:extLst>
        </c:ser>
        <c:dLbls>
          <c:dLblPos val="outEnd"/>
          <c:showLegendKey val="0"/>
          <c:showVal val="1"/>
          <c:showCatName val="0"/>
          <c:showSerName val="0"/>
          <c:showPercent val="0"/>
          <c:showBubbleSize val="0"/>
        </c:dLbls>
        <c:gapWidth val="219"/>
        <c:overlap val="-27"/>
        <c:axId val="1550518048"/>
        <c:axId val="1549594576"/>
      </c:barChart>
      <c:catAx>
        <c:axId val="155051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594576"/>
        <c:crosses val="autoZero"/>
        <c:auto val="1"/>
        <c:lblAlgn val="ctr"/>
        <c:lblOffset val="100"/>
        <c:noMultiLvlLbl val="0"/>
      </c:catAx>
      <c:valAx>
        <c:axId val="154959457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518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Sentivity - Tornado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Sheet8!$D$1</c:f>
              <c:strCache>
                <c:ptCount val="1"/>
                <c:pt idx="0">
                  <c:v>Low Impact</c:v>
                </c:pt>
              </c:strCache>
            </c:strRef>
          </c:tx>
          <c:spPr>
            <a:solidFill>
              <a:schemeClr val="accent1"/>
            </a:solidFill>
            <a:ln>
              <a:noFill/>
            </a:ln>
            <a:effectLst/>
          </c:spPr>
          <c:invertIfNegative val="0"/>
          <c:cat>
            <c:strRef>
              <c:f>Sheet8!$A$2:$A$4</c:f>
              <c:strCache>
                <c:ptCount val="3"/>
                <c:pt idx="0">
                  <c:v>Price per unit</c:v>
                </c:pt>
                <c:pt idx="1">
                  <c:v>Units per customer</c:v>
                </c:pt>
                <c:pt idx="2">
                  <c:v>Discount rate</c:v>
                </c:pt>
              </c:strCache>
            </c:strRef>
          </c:cat>
          <c:val>
            <c:numRef>
              <c:f>Sheet8!$D$2:$D$4</c:f>
              <c:numCache>
                <c:formatCode>General</c:formatCode>
                <c:ptCount val="3"/>
                <c:pt idx="0">
                  <c:v>385067.12479999999</c:v>
                </c:pt>
                <c:pt idx="1">
                  <c:v>385067.12479999999</c:v>
                </c:pt>
                <c:pt idx="2">
                  <c:v>-3743708.16</c:v>
                </c:pt>
              </c:numCache>
            </c:numRef>
          </c:val>
          <c:extLst>
            <c:ext xmlns:c16="http://schemas.microsoft.com/office/drawing/2014/chart" uri="{C3380CC4-5D6E-409C-BE32-E72D297353CC}">
              <c16:uniqueId val="{00000000-5603-4243-83A9-A61FFB0967C6}"/>
            </c:ext>
          </c:extLst>
        </c:ser>
        <c:ser>
          <c:idx val="1"/>
          <c:order val="1"/>
          <c:tx>
            <c:strRef>
              <c:f>Sheet8!$E$1</c:f>
              <c:strCache>
                <c:ptCount val="1"/>
                <c:pt idx="0">
                  <c:v>High Impact</c:v>
                </c:pt>
              </c:strCache>
            </c:strRef>
          </c:tx>
          <c:spPr>
            <a:solidFill>
              <a:schemeClr val="accent2"/>
            </a:solidFill>
            <a:ln>
              <a:noFill/>
            </a:ln>
            <a:effectLst/>
          </c:spPr>
          <c:invertIfNegative val="0"/>
          <c:cat>
            <c:strRef>
              <c:f>Sheet8!$A$2:$A$4</c:f>
              <c:strCache>
                <c:ptCount val="3"/>
                <c:pt idx="0">
                  <c:v>Price per unit</c:v>
                </c:pt>
                <c:pt idx="1">
                  <c:v>Units per customer</c:v>
                </c:pt>
                <c:pt idx="2">
                  <c:v>Discount rate</c:v>
                </c:pt>
              </c:strCache>
            </c:strRef>
          </c:cat>
          <c:val>
            <c:numRef>
              <c:f>Sheet8!$E$2:$E$4</c:f>
              <c:numCache>
                <c:formatCode>General</c:formatCode>
                <c:ptCount val="3"/>
                <c:pt idx="0">
                  <c:v>577600.68720000004</c:v>
                </c:pt>
                <c:pt idx="1">
                  <c:v>577600.68720000004</c:v>
                </c:pt>
                <c:pt idx="2">
                  <c:v>-5882969.96</c:v>
                </c:pt>
              </c:numCache>
            </c:numRef>
          </c:val>
          <c:extLst>
            <c:ext xmlns:c16="http://schemas.microsoft.com/office/drawing/2014/chart" uri="{C3380CC4-5D6E-409C-BE32-E72D297353CC}">
              <c16:uniqueId val="{00000001-5603-4243-83A9-A61FFB0967C6}"/>
            </c:ext>
          </c:extLst>
        </c:ser>
        <c:dLbls>
          <c:showLegendKey val="0"/>
          <c:showVal val="0"/>
          <c:showCatName val="0"/>
          <c:showSerName val="0"/>
          <c:showPercent val="0"/>
          <c:showBubbleSize val="0"/>
        </c:dLbls>
        <c:gapWidth val="150"/>
        <c:overlap val="100"/>
        <c:axId val="693331007"/>
        <c:axId val="720039327"/>
      </c:barChart>
      <c:catAx>
        <c:axId val="693331007"/>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039327"/>
        <c:crossesAt val="0"/>
        <c:auto val="1"/>
        <c:lblAlgn val="ctr"/>
        <c:lblOffset val="100"/>
        <c:noMultiLvlLbl val="0"/>
      </c:catAx>
      <c:valAx>
        <c:axId val="72003932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331007"/>
        <c:crossesAt val="1"/>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Break</a:t>
            </a:r>
            <a:r>
              <a:rPr lang="en-US" baseline="0"/>
              <a:t>-Even Analysis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v>Revenue</c:v>
          </c:tx>
          <c:spPr>
            <a:ln w="31750" cap="rnd">
              <a:solidFill>
                <a:schemeClr val="accent1">
                  <a:lumMod val="75000"/>
                </a:schemeClr>
              </a:solidFill>
              <a:round/>
            </a:ln>
            <a:effectLst/>
          </c:spPr>
          <c:marker>
            <c:symbol val="none"/>
          </c:marker>
          <c:xVal>
            <c:numRef>
              <c:f>Sheet10!$A$2:$A$6</c:f>
              <c:numCache>
                <c:formatCode>General</c:formatCode>
                <c:ptCount val="5"/>
                <c:pt idx="0">
                  <c:v>1000</c:v>
                </c:pt>
                <c:pt idx="1">
                  <c:v>2000</c:v>
                </c:pt>
                <c:pt idx="2">
                  <c:v>3000</c:v>
                </c:pt>
                <c:pt idx="3">
                  <c:v>4000</c:v>
                </c:pt>
                <c:pt idx="4">
                  <c:v>5000</c:v>
                </c:pt>
              </c:numCache>
            </c:numRef>
          </c:xVal>
          <c:yVal>
            <c:numRef>
              <c:f>Sheet10!$B$2:$B$6</c:f>
              <c:numCache>
                <c:formatCode>General</c:formatCode>
                <c:ptCount val="5"/>
                <c:pt idx="0">
                  <c:v>36000</c:v>
                </c:pt>
                <c:pt idx="1">
                  <c:v>72000</c:v>
                </c:pt>
                <c:pt idx="2">
                  <c:v>108000</c:v>
                </c:pt>
                <c:pt idx="3">
                  <c:v>144000</c:v>
                </c:pt>
                <c:pt idx="4">
                  <c:v>180000</c:v>
                </c:pt>
              </c:numCache>
            </c:numRef>
          </c:yVal>
          <c:smooth val="0"/>
          <c:extLst>
            <c:ext xmlns:c16="http://schemas.microsoft.com/office/drawing/2014/chart" uri="{C3380CC4-5D6E-409C-BE32-E72D297353CC}">
              <c16:uniqueId val="{00000001-4C92-41E0-8E95-F791EFFE48DE}"/>
            </c:ext>
          </c:extLst>
        </c:ser>
        <c:ser>
          <c:idx val="2"/>
          <c:order val="1"/>
          <c:tx>
            <c:v>Total Cost</c:v>
          </c:tx>
          <c:spPr>
            <a:ln w="31750" cap="rnd">
              <a:solidFill>
                <a:srgbClr val="FF0000"/>
              </a:solidFill>
              <a:round/>
            </a:ln>
            <a:effectLst/>
          </c:spPr>
          <c:marker>
            <c:symbol val="none"/>
          </c:marker>
          <c:xVal>
            <c:numRef>
              <c:f>Sheet10!$A$2:$A$6</c:f>
              <c:numCache>
                <c:formatCode>General</c:formatCode>
                <c:ptCount val="5"/>
                <c:pt idx="0">
                  <c:v>1000</c:v>
                </c:pt>
                <c:pt idx="1">
                  <c:v>2000</c:v>
                </c:pt>
                <c:pt idx="2">
                  <c:v>3000</c:v>
                </c:pt>
                <c:pt idx="3">
                  <c:v>4000</c:v>
                </c:pt>
                <c:pt idx="4">
                  <c:v>5000</c:v>
                </c:pt>
              </c:numCache>
            </c:numRef>
          </c:xVal>
          <c:yVal>
            <c:numRef>
              <c:f>Sheet10!$C$2:$C$6</c:f>
              <c:numCache>
                <c:formatCode>General</c:formatCode>
                <c:ptCount val="5"/>
                <c:pt idx="0">
                  <c:v>122000</c:v>
                </c:pt>
                <c:pt idx="1">
                  <c:v>242000</c:v>
                </c:pt>
                <c:pt idx="2">
                  <c:v>362000</c:v>
                </c:pt>
                <c:pt idx="3">
                  <c:v>482000</c:v>
                </c:pt>
                <c:pt idx="4">
                  <c:v>602000</c:v>
                </c:pt>
              </c:numCache>
            </c:numRef>
          </c:yVal>
          <c:smooth val="0"/>
          <c:extLst>
            <c:ext xmlns:c16="http://schemas.microsoft.com/office/drawing/2014/chart" uri="{C3380CC4-5D6E-409C-BE32-E72D297353CC}">
              <c16:uniqueId val="{00000002-4C92-41E0-8E95-F791EFFE48DE}"/>
            </c:ext>
          </c:extLst>
        </c:ser>
        <c:ser>
          <c:idx val="3"/>
          <c:order val="2"/>
          <c:tx>
            <c:v>Break-Even Point</c:v>
          </c:tx>
          <c:spPr>
            <a:ln w="28575" cap="rnd">
              <a:solidFill>
                <a:schemeClr val="accent4"/>
              </a:solidFill>
              <a:round/>
            </a:ln>
            <a:effectLst/>
          </c:spPr>
          <c:marker>
            <c:symbol val="none"/>
          </c:marker>
          <c:xVal>
            <c:numRef>
              <c:f>Sheet10!$H$2:$H$3</c:f>
              <c:numCache>
                <c:formatCode>General</c:formatCode>
                <c:ptCount val="2"/>
                <c:pt idx="0">
                  <c:v>3214</c:v>
                </c:pt>
                <c:pt idx="1">
                  <c:v>3214</c:v>
                </c:pt>
              </c:numCache>
            </c:numRef>
          </c:xVal>
          <c:yVal>
            <c:numRef>
              <c:f>Sheet10!$I$2:$I$3</c:f>
              <c:numCache>
                <c:formatCode>General</c:formatCode>
                <c:ptCount val="2"/>
                <c:pt idx="0">
                  <c:v>0</c:v>
                </c:pt>
                <c:pt idx="1">
                  <c:v>180000</c:v>
                </c:pt>
              </c:numCache>
            </c:numRef>
          </c:yVal>
          <c:smooth val="0"/>
          <c:extLst>
            <c:ext xmlns:c16="http://schemas.microsoft.com/office/drawing/2014/chart" uri="{C3380CC4-5D6E-409C-BE32-E72D297353CC}">
              <c16:uniqueId val="{00000005-4C92-41E0-8E95-F791EFFE48DE}"/>
            </c:ext>
          </c:extLst>
        </c:ser>
        <c:dLbls>
          <c:showLegendKey val="0"/>
          <c:showVal val="0"/>
          <c:showCatName val="0"/>
          <c:showSerName val="0"/>
          <c:showPercent val="0"/>
          <c:showBubbleSize val="0"/>
        </c:dLbls>
        <c:axId val="2127585376"/>
        <c:axId val="70602144"/>
      </c:scatterChart>
      <c:valAx>
        <c:axId val="2127585376"/>
        <c:scaling>
          <c:orientation val="minMax"/>
        </c:scaling>
        <c:delete val="1"/>
        <c:axPos val="b"/>
        <c:numFmt formatCode="General" sourceLinked="1"/>
        <c:majorTickMark val="none"/>
        <c:minorTickMark val="none"/>
        <c:tickLblPos val="nextTo"/>
        <c:crossAx val="70602144"/>
        <c:crosses val="autoZero"/>
        <c:crossBetween val="midCat"/>
      </c:valAx>
      <c:valAx>
        <c:axId val="70602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5853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Ramp to Break-Even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Ramp to Break-Even'!$F$5</c:f>
              <c:strCache>
                <c:ptCount val="1"/>
                <c:pt idx="0">
                  <c:v>Cumulative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Ramp to Break-Even'!$A$6:$A$17</c:f>
              <c:strCache>
                <c:ptCount val="12"/>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strCache>
            </c:strRef>
          </c:cat>
          <c:val>
            <c:numRef>
              <c:f>'Monthly Ramp to Break-Even'!$F$6:$F$17</c:f>
              <c:numCache>
                <c:formatCode>General</c:formatCode>
                <c:ptCount val="12"/>
                <c:pt idx="0">
                  <c:v>-116000</c:v>
                </c:pt>
                <c:pt idx="1">
                  <c:v>-79120</c:v>
                </c:pt>
                <c:pt idx="2">
                  <c:v>-39129.599999999999</c:v>
                </c:pt>
                <c:pt idx="3">
                  <c:v>4220.0320000000065</c:v>
                </c:pt>
                <c:pt idx="4">
                  <c:v>51197.63456000002</c:v>
                </c:pt>
                <c:pt idx="5">
                  <c:v>102093.44532480004</c:v>
                </c:pt>
                <c:pt idx="6">
                  <c:v>157220.92095078406</c:v>
                </c:pt>
                <c:pt idx="7">
                  <c:v>216918.59462684681</c:v>
                </c:pt>
                <c:pt idx="8">
                  <c:v>281552.08219699457</c:v>
                </c:pt>
                <c:pt idx="9">
                  <c:v>351516.24877275416</c:v>
                </c:pt>
                <c:pt idx="10">
                  <c:v>427237.54867457453</c:v>
                </c:pt>
                <c:pt idx="11">
                  <c:v>509176.55256854056</c:v>
                </c:pt>
              </c:numCache>
            </c:numRef>
          </c:val>
          <c:smooth val="0"/>
          <c:extLst>
            <c:ext xmlns:c16="http://schemas.microsoft.com/office/drawing/2014/chart" uri="{C3380CC4-5D6E-409C-BE32-E72D297353CC}">
              <c16:uniqueId val="{00000000-C4DD-431E-847B-0F4A35E2CD71}"/>
            </c:ext>
          </c:extLst>
        </c:ser>
        <c:dLbls>
          <c:showLegendKey val="0"/>
          <c:showVal val="0"/>
          <c:showCatName val="0"/>
          <c:showSerName val="0"/>
          <c:showPercent val="0"/>
          <c:showBubbleSize val="0"/>
        </c:dLbls>
        <c:marker val="1"/>
        <c:smooth val="0"/>
        <c:axId val="1606412880"/>
        <c:axId val="1516302800"/>
      </c:lineChart>
      <c:catAx>
        <c:axId val="160641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302800"/>
        <c:crosses val="autoZero"/>
        <c:auto val="1"/>
        <c:lblAlgn val="ctr"/>
        <c:lblOffset val="100"/>
        <c:noMultiLvlLbl val="0"/>
      </c:catAx>
      <c:valAx>
        <c:axId val="1516302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412880"/>
        <c:crossesAt val="1"/>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9525</xdr:colOff>
      <xdr:row>0</xdr:row>
      <xdr:rowOff>9525</xdr:rowOff>
    </xdr:from>
    <xdr:to>
      <xdr:col>12</xdr:col>
      <xdr:colOff>314325</xdr:colOff>
      <xdr:row>13</xdr:row>
      <xdr:rowOff>104775</xdr:rowOff>
    </xdr:to>
    <xdr:graphicFrame macro="">
      <xdr:nvGraphicFramePr>
        <xdr:cNvPr id="2" name="Chart 1">
          <a:extLst>
            <a:ext uri="{FF2B5EF4-FFF2-40B4-BE49-F238E27FC236}">
              <a16:creationId xmlns:a16="http://schemas.microsoft.com/office/drawing/2014/main" id="{801EB557-EF6B-49DA-8EC6-2054FABCA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xdr:colOff>
      <xdr:row>13</xdr:row>
      <xdr:rowOff>95250</xdr:rowOff>
    </xdr:from>
    <xdr:to>
      <xdr:col>12</xdr:col>
      <xdr:colOff>314325</xdr:colOff>
      <xdr:row>27</xdr:row>
      <xdr:rowOff>171450</xdr:rowOff>
    </xdr:to>
    <xdr:graphicFrame macro="">
      <xdr:nvGraphicFramePr>
        <xdr:cNvPr id="3" name="Chart 2">
          <a:extLst>
            <a:ext uri="{FF2B5EF4-FFF2-40B4-BE49-F238E27FC236}">
              <a16:creationId xmlns:a16="http://schemas.microsoft.com/office/drawing/2014/main" id="{B5DC93F5-BA08-4144-AE9C-3B1FE47D07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1047750</xdr:colOff>
      <xdr:row>3</xdr:row>
      <xdr:rowOff>28575</xdr:rowOff>
    </xdr:from>
    <xdr:to>
      <xdr:col>3</xdr:col>
      <xdr:colOff>1181100</xdr:colOff>
      <xdr:row>3</xdr:row>
      <xdr:rowOff>133349</xdr:rowOff>
    </xdr:to>
    <xdr:sp macro="" textlink="">
      <xdr:nvSpPr>
        <xdr:cNvPr id="7" name="Arrow: Up 6">
          <a:extLst>
            <a:ext uri="{FF2B5EF4-FFF2-40B4-BE49-F238E27FC236}">
              <a16:creationId xmlns:a16="http://schemas.microsoft.com/office/drawing/2014/main" id="{71C31385-0594-48F4-98F2-98CD234A4B88}"/>
            </a:ext>
          </a:extLst>
        </xdr:cNvPr>
        <xdr:cNvSpPr/>
      </xdr:nvSpPr>
      <xdr:spPr>
        <a:xfrm>
          <a:off x="8020050" y="762000"/>
          <a:ext cx="133350" cy="104774"/>
        </a:xfrm>
        <a:prstGeom prst="up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1228725</xdr:colOff>
      <xdr:row>3</xdr:row>
      <xdr:rowOff>28575</xdr:rowOff>
    </xdr:from>
    <xdr:to>
      <xdr:col>2</xdr:col>
      <xdr:colOff>1362075</xdr:colOff>
      <xdr:row>3</xdr:row>
      <xdr:rowOff>133349</xdr:rowOff>
    </xdr:to>
    <xdr:sp macro="" textlink="">
      <xdr:nvSpPr>
        <xdr:cNvPr id="8" name="Arrow: Up 7">
          <a:extLst>
            <a:ext uri="{FF2B5EF4-FFF2-40B4-BE49-F238E27FC236}">
              <a16:creationId xmlns:a16="http://schemas.microsoft.com/office/drawing/2014/main" id="{C9A035E5-5A11-43F3-860E-3D0D60CBD428}"/>
            </a:ext>
          </a:extLst>
        </xdr:cNvPr>
        <xdr:cNvSpPr/>
      </xdr:nvSpPr>
      <xdr:spPr>
        <a:xfrm>
          <a:off x="6534150" y="762000"/>
          <a:ext cx="133350" cy="104774"/>
        </a:xfrm>
        <a:prstGeom prst="up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1028700</xdr:colOff>
      <xdr:row>3</xdr:row>
      <xdr:rowOff>28575</xdr:rowOff>
    </xdr:from>
    <xdr:to>
      <xdr:col>1</xdr:col>
      <xdr:colOff>1162050</xdr:colOff>
      <xdr:row>3</xdr:row>
      <xdr:rowOff>133349</xdr:rowOff>
    </xdr:to>
    <xdr:sp macro="" textlink="">
      <xdr:nvSpPr>
        <xdr:cNvPr id="9" name="Arrow: Up 8">
          <a:extLst>
            <a:ext uri="{FF2B5EF4-FFF2-40B4-BE49-F238E27FC236}">
              <a16:creationId xmlns:a16="http://schemas.microsoft.com/office/drawing/2014/main" id="{DD7B6C74-FD3B-49BC-8338-5D27C35EB775}"/>
            </a:ext>
          </a:extLst>
        </xdr:cNvPr>
        <xdr:cNvSpPr/>
      </xdr:nvSpPr>
      <xdr:spPr>
        <a:xfrm>
          <a:off x="4943475" y="762000"/>
          <a:ext cx="133350" cy="104774"/>
        </a:xfrm>
        <a:prstGeom prst="up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2447925</xdr:colOff>
      <xdr:row>3</xdr:row>
      <xdr:rowOff>28575</xdr:rowOff>
    </xdr:from>
    <xdr:to>
      <xdr:col>0</xdr:col>
      <xdr:colOff>2581275</xdr:colOff>
      <xdr:row>3</xdr:row>
      <xdr:rowOff>133349</xdr:rowOff>
    </xdr:to>
    <xdr:sp macro="" textlink="">
      <xdr:nvSpPr>
        <xdr:cNvPr id="10" name="Arrow: Up 9">
          <a:extLst>
            <a:ext uri="{FF2B5EF4-FFF2-40B4-BE49-F238E27FC236}">
              <a16:creationId xmlns:a16="http://schemas.microsoft.com/office/drawing/2014/main" id="{EF23D6E2-8EF5-4221-A748-54A80F8576D7}"/>
            </a:ext>
          </a:extLst>
        </xdr:cNvPr>
        <xdr:cNvSpPr/>
      </xdr:nvSpPr>
      <xdr:spPr>
        <a:xfrm>
          <a:off x="2447925" y="762000"/>
          <a:ext cx="133350" cy="104774"/>
        </a:xfrm>
        <a:prstGeom prst="up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485775</xdr:colOff>
      <xdr:row>0</xdr:row>
      <xdr:rowOff>0</xdr:rowOff>
    </xdr:from>
    <xdr:to>
      <xdr:col>15</xdr:col>
      <xdr:colOff>500480</xdr:colOff>
      <xdr:row>12</xdr:row>
      <xdr:rowOff>7483</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62D36F17-CD64-4E00-AABD-ECF9889DCD2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535025" y="0"/>
              <a:ext cx="1843505" cy="2474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0</xdr:rowOff>
    </xdr:from>
    <xdr:to>
      <xdr:col>3</xdr:col>
      <xdr:colOff>190500</xdr:colOff>
      <xdr:row>20</xdr:row>
      <xdr:rowOff>76200</xdr:rowOff>
    </xdr:to>
    <xdr:graphicFrame macro="">
      <xdr:nvGraphicFramePr>
        <xdr:cNvPr id="2" name="Chart 1">
          <a:extLst>
            <a:ext uri="{FF2B5EF4-FFF2-40B4-BE49-F238E27FC236}">
              <a16:creationId xmlns:a16="http://schemas.microsoft.com/office/drawing/2014/main" id="{407B3632-78FA-45F5-9297-BAE94DE61B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8</xdr:row>
      <xdr:rowOff>180975</xdr:rowOff>
    </xdr:from>
    <xdr:to>
      <xdr:col>5</xdr:col>
      <xdr:colOff>76200</xdr:colOff>
      <xdr:row>23</xdr:row>
      <xdr:rowOff>66675</xdr:rowOff>
    </xdr:to>
    <xdr:graphicFrame macro="">
      <xdr:nvGraphicFramePr>
        <xdr:cNvPr id="9" name="Chart 8">
          <a:extLst>
            <a:ext uri="{FF2B5EF4-FFF2-40B4-BE49-F238E27FC236}">
              <a16:creationId xmlns:a16="http://schemas.microsoft.com/office/drawing/2014/main" id="{AFE8CD3D-F6CE-46A1-8626-72F826665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19</xdr:row>
      <xdr:rowOff>0</xdr:rowOff>
    </xdr:from>
    <xdr:to>
      <xdr:col>5</xdr:col>
      <xdr:colOff>314325</xdr:colOff>
      <xdr:row>33</xdr:row>
      <xdr:rowOff>76200</xdr:rowOff>
    </xdr:to>
    <xdr:graphicFrame macro="">
      <xdr:nvGraphicFramePr>
        <xdr:cNvPr id="2" name="Chart 1">
          <a:extLst>
            <a:ext uri="{FF2B5EF4-FFF2-40B4-BE49-F238E27FC236}">
              <a16:creationId xmlns:a16="http://schemas.microsoft.com/office/drawing/2014/main" id="{7C2D60CE-37C3-4F04-A03E-454DDB71DB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9524</xdr:colOff>
      <xdr:row>1</xdr:row>
      <xdr:rowOff>180974</xdr:rowOff>
    </xdr:from>
    <xdr:to>
      <xdr:col>0</xdr:col>
      <xdr:colOff>2277236</xdr:colOff>
      <xdr:row>6</xdr:row>
      <xdr:rowOff>188594</xdr:rowOff>
    </xdr:to>
    <xdr:sp macro="" textlink="">
      <xdr:nvSpPr>
        <xdr:cNvPr id="2" name="Rectangle: Rounded Corners 1">
          <a:extLst>
            <a:ext uri="{FF2B5EF4-FFF2-40B4-BE49-F238E27FC236}">
              <a16:creationId xmlns:a16="http://schemas.microsoft.com/office/drawing/2014/main" id="{9297AA78-4140-4381-B7D6-BE202A28BC70}"/>
            </a:ext>
          </a:extLst>
        </xdr:cNvPr>
        <xdr:cNvSpPr/>
      </xdr:nvSpPr>
      <xdr:spPr>
        <a:xfrm>
          <a:off x="9524" y="380999"/>
          <a:ext cx="2267712" cy="96012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800" b="1"/>
            <a:t>Total</a:t>
          </a:r>
          <a:r>
            <a:rPr lang="en-US" sz="1800" b="1" baseline="0"/>
            <a:t> Revenue</a:t>
          </a:r>
        </a:p>
        <a:p>
          <a:pPr algn="l"/>
          <a:endParaRPr lang="en-US" sz="1800" b="1" baseline="0"/>
        </a:p>
      </xdr:txBody>
    </xdr:sp>
    <xdr:clientData/>
  </xdr:twoCellAnchor>
  <xdr:twoCellAnchor>
    <xdr:from>
      <xdr:col>0</xdr:col>
      <xdr:colOff>276225</xdr:colOff>
      <xdr:row>4</xdr:row>
      <xdr:rowOff>171449</xdr:rowOff>
    </xdr:from>
    <xdr:to>
      <xdr:col>0</xdr:col>
      <xdr:colOff>1990725</xdr:colOff>
      <xdr:row>6</xdr:row>
      <xdr:rowOff>85724</xdr:rowOff>
    </xdr:to>
    <xdr:sp macro="" textlink="Sheet5!C2">
      <xdr:nvSpPr>
        <xdr:cNvPr id="3" name="TextBox 2">
          <a:extLst>
            <a:ext uri="{FF2B5EF4-FFF2-40B4-BE49-F238E27FC236}">
              <a16:creationId xmlns:a16="http://schemas.microsoft.com/office/drawing/2014/main" id="{31C2CA2C-45B3-4465-8340-EA65D9D92A6B}"/>
            </a:ext>
          </a:extLst>
        </xdr:cNvPr>
        <xdr:cNvSpPr txBox="1"/>
      </xdr:nvSpPr>
      <xdr:spPr>
        <a:xfrm>
          <a:off x="276225" y="942974"/>
          <a:ext cx="171450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81DA91-4C05-4427-8CA0-00E44D693005}" type="TxLink">
            <a:rPr lang="en-US" sz="1600" b="1" i="0" u="none" strike="noStrike">
              <a:ln>
                <a:noFill/>
              </a:ln>
              <a:solidFill>
                <a:schemeClr val="tx1"/>
              </a:solidFill>
              <a:latin typeface="Calibri"/>
              <a:cs typeface="Calibri"/>
            </a:rPr>
            <a:pPr algn="ctr"/>
            <a:t>NGN 517,500.64</a:t>
          </a:fld>
          <a:endParaRPr lang="en-US" sz="1600" b="1">
            <a:ln>
              <a:noFill/>
            </a:ln>
            <a:solidFill>
              <a:schemeClr val="tx1"/>
            </a:solidFill>
          </a:endParaRPr>
        </a:p>
      </xdr:txBody>
    </xdr:sp>
    <xdr:clientData/>
  </xdr:twoCellAnchor>
  <xdr:twoCellAnchor>
    <xdr:from>
      <xdr:col>0</xdr:col>
      <xdr:colOff>2276474</xdr:colOff>
      <xdr:row>1</xdr:row>
      <xdr:rowOff>180974</xdr:rowOff>
    </xdr:from>
    <xdr:to>
      <xdr:col>4</xdr:col>
      <xdr:colOff>286511</xdr:colOff>
      <xdr:row>6</xdr:row>
      <xdr:rowOff>188594</xdr:rowOff>
    </xdr:to>
    <xdr:sp macro="" textlink="">
      <xdr:nvSpPr>
        <xdr:cNvPr id="4" name="Rectangle: Rounded Corners 3">
          <a:extLst>
            <a:ext uri="{FF2B5EF4-FFF2-40B4-BE49-F238E27FC236}">
              <a16:creationId xmlns:a16="http://schemas.microsoft.com/office/drawing/2014/main" id="{6634916F-65F2-4E11-9F16-1518AC8FCDC2}"/>
            </a:ext>
          </a:extLst>
        </xdr:cNvPr>
        <xdr:cNvSpPr/>
      </xdr:nvSpPr>
      <xdr:spPr>
        <a:xfrm>
          <a:off x="2276474" y="380999"/>
          <a:ext cx="2267712" cy="96012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b="1"/>
            <a:t>Total Profit</a:t>
          </a:r>
        </a:p>
      </xdr:txBody>
    </xdr:sp>
    <xdr:clientData/>
  </xdr:twoCellAnchor>
  <xdr:twoCellAnchor>
    <xdr:from>
      <xdr:col>1</xdr:col>
      <xdr:colOff>209550</xdr:colOff>
      <xdr:row>5</xdr:row>
      <xdr:rowOff>19051</xdr:rowOff>
    </xdr:from>
    <xdr:to>
      <xdr:col>4</xdr:col>
      <xdr:colOff>85725</xdr:colOff>
      <xdr:row>6</xdr:row>
      <xdr:rowOff>114301</xdr:rowOff>
    </xdr:to>
    <xdr:sp macro="" textlink="">
      <xdr:nvSpPr>
        <xdr:cNvPr id="5" name="TextBox 4">
          <a:extLst>
            <a:ext uri="{FF2B5EF4-FFF2-40B4-BE49-F238E27FC236}">
              <a16:creationId xmlns:a16="http://schemas.microsoft.com/office/drawing/2014/main" id="{25E3E099-C385-4BBE-A429-8DAC35E6F65D}"/>
            </a:ext>
          </a:extLst>
        </xdr:cNvPr>
        <xdr:cNvSpPr txBox="1"/>
      </xdr:nvSpPr>
      <xdr:spPr>
        <a:xfrm>
          <a:off x="2638425" y="981076"/>
          <a:ext cx="17049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NGN 433,333.91</a:t>
          </a:r>
        </a:p>
      </xdr:txBody>
    </xdr:sp>
    <xdr:clientData/>
  </xdr:twoCellAnchor>
  <xdr:twoCellAnchor>
    <xdr:from>
      <xdr:col>0</xdr:col>
      <xdr:colOff>0</xdr:colOff>
      <xdr:row>7</xdr:row>
      <xdr:rowOff>19050</xdr:rowOff>
    </xdr:from>
    <xdr:to>
      <xdr:col>0</xdr:col>
      <xdr:colOff>2267712</xdr:colOff>
      <xdr:row>12</xdr:row>
      <xdr:rowOff>26670</xdr:rowOff>
    </xdr:to>
    <xdr:sp macro="" textlink="">
      <xdr:nvSpPr>
        <xdr:cNvPr id="6" name="Rectangle: Rounded Corners 5">
          <a:extLst>
            <a:ext uri="{FF2B5EF4-FFF2-40B4-BE49-F238E27FC236}">
              <a16:creationId xmlns:a16="http://schemas.microsoft.com/office/drawing/2014/main" id="{E7B05B38-AFBF-44DA-A9DD-D68327110F1B}"/>
            </a:ext>
          </a:extLst>
        </xdr:cNvPr>
        <xdr:cNvSpPr/>
      </xdr:nvSpPr>
      <xdr:spPr>
        <a:xfrm>
          <a:off x="0" y="1362075"/>
          <a:ext cx="2267712" cy="96012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b="1"/>
            <a:t>Break-Even</a:t>
          </a:r>
          <a:r>
            <a:rPr lang="en-US" sz="1600" b="1" baseline="0"/>
            <a:t> Month</a:t>
          </a:r>
          <a:endParaRPr lang="en-US" sz="1600" b="1"/>
        </a:p>
      </xdr:txBody>
    </xdr:sp>
    <xdr:clientData/>
  </xdr:twoCellAnchor>
  <xdr:twoCellAnchor>
    <xdr:from>
      <xdr:col>0</xdr:col>
      <xdr:colOff>390525</xdr:colOff>
      <xdr:row>9</xdr:row>
      <xdr:rowOff>180975</xdr:rowOff>
    </xdr:from>
    <xdr:to>
      <xdr:col>0</xdr:col>
      <xdr:colOff>1800225</xdr:colOff>
      <xdr:row>11</xdr:row>
      <xdr:rowOff>142875</xdr:rowOff>
    </xdr:to>
    <xdr:sp macro="" textlink="">
      <xdr:nvSpPr>
        <xdr:cNvPr id="7" name="TextBox 6">
          <a:extLst>
            <a:ext uri="{FF2B5EF4-FFF2-40B4-BE49-F238E27FC236}">
              <a16:creationId xmlns:a16="http://schemas.microsoft.com/office/drawing/2014/main" id="{3A4C8E33-AFCB-4F9E-AA29-ED2EADA3117D}"/>
            </a:ext>
          </a:extLst>
        </xdr:cNvPr>
        <xdr:cNvSpPr txBox="1"/>
      </xdr:nvSpPr>
      <xdr:spPr>
        <a:xfrm>
          <a:off x="390525" y="1905000"/>
          <a:ext cx="140970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Month 4</a:t>
          </a:r>
        </a:p>
      </xdr:txBody>
    </xdr:sp>
    <xdr:clientData/>
  </xdr:twoCellAnchor>
  <xdr:twoCellAnchor>
    <xdr:from>
      <xdr:col>0</xdr:col>
      <xdr:colOff>2266950</xdr:colOff>
      <xdr:row>7</xdr:row>
      <xdr:rowOff>19050</xdr:rowOff>
    </xdr:from>
    <xdr:to>
      <xdr:col>4</xdr:col>
      <xdr:colOff>276987</xdr:colOff>
      <xdr:row>12</xdr:row>
      <xdr:rowOff>26670</xdr:rowOff>
    </xdr:to>
    <xdr:sp macro="" textlink="">
      <xdr:nvSpPr>
        <xdr:cNvPr id="8" name="Rectangle: Rounded Corners 7">
          <a:extLst>
            <a:ext uri="{FF2B5EF4-FFF2-40B4-BE49-F238E27FC236}">
              <a16:creationId xmlns:a16="http://schemas.microsoft.com/office/drawing/2014/main" id="{7DC03EBA-A1F7-44AE-B97C-3674F00423CC}"/>
            </a:ext>
          </a:extLst>
        </xdr:cNvPr>
        <xdr:cNvSpPr/>
      </xdr:nvSpPr>
      <xdr:spPr>
        <a:xfrm>
          <a:off x="2266950" y="1362075"/>
          <a:ext cx="2267712" cy="96012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b="1"/>
            <a:t>Average ARPU</a:t>
          </a:r>
        </a:p>
      </xdr:txBody>
    </xdr:sp>
    <xdr:clientData/>
  </xdr:twoCellAnchor>
  <xdr:twoCellAnchor>
    <xdr:from>
      <xdr:col>1</xdr:col>
      <xdr:colOff>438150</xdr:colOff>
      <xdr:row>9</xdr:row>
      <xdr:rowOff>142875</xdr:rowOff>
    </xdr:from>
    <xdr:to>
      <xdr:col>3</xdr:col>
      <xdr:colOff>409575</xdr:colOff>
      <xdr:row>11</xdr:row>
      <xdr:rowOff>76200</xdr:rowOff>
    </xdr:to>
    <xdr:sp macro="" textlink="Sheet4!C5">
      <xdr:nvSpPr>
        <xdr:cNvPr id="9" name="TextBox 8">
          <a:extLst>
            <a:ext uri="{FF2B5EF4-FFF2-40B4-BE49-F238E27FC236}">
              <a16:creationId xmlns:a16="http://schemas.microsoft.com/office/drawing/2014/main" id="{F41837C6-6797-471F-8B59-E66B07626B82}"/>
            </a:ext>
          </a:extLst>
        </xdr:cNvPr>
        <xdr:cNvSpPr txBox="1"/>
      </xdr:nvSpPr>
      <xdr:spPr>
        <a:xfrm>
          <a:off x="2867025" y="1866900"/>
          <a:ext cx="119062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6BCEDB-9992-4F76-9780-AEBBED39EA7E}" type="TxLink">
            <a:rPr lang="en-US" sz="1600" b="1" i="0" u="none" strike="noStrike">
              <a:solidFill>
                <a:srgbClr val="000000"/>
              </a:solidFill>
              <a:latin typeface="Calibri"/>
              <a:cs typeface="Calibri"/>
            </a:rPr>
            <a:pPr algn="ctr"/>
            <a:t>36</a:t>
          </a:fld>
          <a:endParaRPr lang="en-US" sz="1600" b="1"/>
        </a:p>
      </xdr:txBody>
    </xdr:sp>
    <xdr:clientData/>
  </xdr:twoCellAnchor>
  <xdr:twoCellAnchor editAs="oneCell">
    <xdr:from>
      <xdr:col>4</xdr:col>
      <xdr:colOff>400050</xdr:colOff>
      <xdr:row>1</xdr:row>
      <xdr:rowOff>9525</xdr:rowOff>
    </xdr:from>
    <xdr:to>
      <xdr:col>5</xdr:col>
      <xdr:colOff>4362846</xdr:colOff>
      <xdr:row>15</xdr:row>
      <xdr:rowOff>76438</xdr:rowOff>
    </xdr:to>
    <xdr:pic>
      <xdr:nvPicPr>
        <xdr:cNvPr id="10" name="Picture 9">
          <a:extLst>
            <a:ext uri="{FF2B5EF4-FFF2-40B4-BE49-F238E27FC236}">
              <a16:creationId xmlns:a16="http://schemas.microsoft.com/office/drawing/2014/main" id="{87D8A8A9-D9B4-43A7-BB7E-FFADDA31586D}"/>
            </a:ext>
          </a:extLst>
        </xdr:cNvPr>
        <xdr:cNvPicPr>
          <a:picLocks noChangeAspect="1"/>
        </xdr:cNvPicPr>
      </xdr:nvPicPr>
      <xdr:blipFill>
        <a:blip xmlns:r="http://schemas.openxmlformats.org/officeDocument/2006/relationships" r:embed="rId1"/>
        <a:stretch>
          <a:fillRect/>
        </a:stretch>
      </xdr:blipFill>
      <xdr:spPr>
        <a:xfrm>
          <a:off x="4657725" y="209550"/>
          <a:ext cx="4572396" cy="2743438"/>
        </a:xfrm>
        <a:prstGeom prst="rect">
          <a:avLst/>
        </a:prstGeom>
      </xdr:spPr>
    </xdr:pic>
    <xdr:clientData/>
  </xdr:twoCellAnchor>
  <xdr:twoCellAnchor editAs="oneCell">
    <xdr:from>
      <xdr:col>0</xdr:col>
      <xdr:colOff>0</xdr:colOff>
      <xdr:row>15</xdr:row>
      <xdr:rowOff>0</xdr:rowOff>
    </xdr:from>
    <xdr:to>
      <xdr:col>4</xdr:col>
      <xdr:colOff>326914</xdr:colOff>
      <xdr:row>29</xdr:row>
      <xdr:rowOff>79106</xdr:rowOff>
    </xdr:to>
    <xdr:pic>
      <xdr:nvPicPr>
        <xdr:cNvPr id="13" name="Picture 12">
          <a:extLst>
            <a:ext uri="{FF2B5EF4-FFF2-40B4-BE49-F238E27FC236}">
              <a16:creationId xmlns:a16="http://schemas.microsoft.com/office/drawing/2014/main" id="{32B5DBFF-8B81-4895-A400-68EA1E3DF717}"/>
            </a:ext>
          </a:extLst>
        </xdr:cNvPr>
        <xdr:cNvPicPr>
          <a:picLocks noChangeAspect="1"/>
        </xdr:cNvPicPr>
      </xdr:nvPicPr>
      <xdr:blipFill>
        <a:blip xmlns:r="http://schemas.openxmlformats.org/officeDocument/2006/relationships" r:embed="rId2"/>
        <a:stretch>
          <a:fillRect/>
        </a:stretch>
      </xdr:blipFill>
      <xdr:spPr>
        <a:xfrm>
          <a:off x="0" y="2876550"/>
          <a:ext cx="4584589" cy="2755631"/>
        </a:xfrm>
        <a:prstGeom prst="rect">
          <a:avLst/>
        </a:prstGeom>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 refreshedDate="45999.965996064813" createdVersion="6" refreshedVersion="6" minRefreshableVersion="3" recordCount="12" xr:uid="{EB5E101D-8386-4E42-BA34-A293C0E68E45}">
  <cacheSource type="worksheet">
    <worksheetSource name="Table2"/>
  </cacheSource>
  <cacheFields count="7">
    <cacheField name="Month" numFmtId="0">
      <sharedItems count="12">
        <s v="Jan"/>
        <s v="Feb"/>
        <s v="Mar"/>
        <s v="Apr"/>
        <s v="May"/>
        <s v="Jun"/>
        <s v="Jul"/>
        <s v="Aug"/>
        <s v="Sep"/>
        <s v="Oct"/>
        <s v="Nov"/>
        <s v="Dec"/>
      </sharedItems>
    </cacheField>
    <cacheField name="Ending Customers" numFmtId="0">
      <sharedItems containsSemiMixedTypes="0" containsString="0" containsNumber="1" minValue="1050" maxValue="1795.8563260221292"/>
    </cacheField>
    <cacheField name="ARPU" numFmtId="0">
      <sharedItems containsSemiMixedTypes="0" containsString="0" containsNumber="1" containsInteger="1" minValue="36" maxValue="36"/>
    </cacheField>
    <cacheField name="Monthly Revenue" numFmtId="0">
      <sharedItems containsSemiMixedTypes="0" containsString="0" containsNumber="1" minValue="37800" maxValue="64650.827736796651"/>
    </cacheField>
    <cacheField name="Total Cost" numFmtId="0">
      <sharedItems containsSemiMixedTypes="0" containsString="0" containsNumber="1" minValue="5780" maxValue="8465.0827736796655"/>
    </cacheField>
    <cacheField name="Profit" numFmtId="0">
      <sharedItems containsSemiMixedTypes="0" containsString="0" containsNumber="1" minValue="32020" maxValue="56185.744963116987"/>
    </cacheField>
    <cacheField name="Profit Margin" numFmtId="10">
      <sharedItems containsSemiMixedTypes="0" containsString="0" containsNumber="1" minValue="0.84708994708994712" maxValue="0.86906458787902452"/>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1050"/>
    <n v="36"/>
    <n v="37800"/>
    <n v="5780"/>
    <n v="32020"/>
    <n v="0.84708994708994712"/>
  </r>
  <r>
    <x v="1"/>
    <n v="1102.5"/>
    <n v="36"/>
    <n v="39690"/>
    <n v="5969"/>
    <n v="33721"/>
    <n v="0.84960947341899717"/>
  </r>
  <r>
    <x v="2"/>
    <n v="1157.625"/>
    <n v="36"/>
    <n v="41674.5"/>
    <n v="6167.45"/>
    <n v="35507.050000000003"/>
    <n v="0.85200902230380693"/>
  </r>
  <r>
    <x v="3"/>
    <n v="1215.5062499999999"/>
    <n v="36"/>
    <n v="43758.224999999999"/>
    <n v="6375.8225000000002"/>
    <n v="37382.402499999997"/>
    <n v="0.8542943069560065"/>
  </r>
  <r>
    <x v="4"/>
    <n v="1276.2815624999998"/>
    <n v="36"/>
    <n v="45946.136249999996"/>
    <n v="6594.613625"/>
    <n v="39351.522624999998"/>
    <n v="0.85647076852953008"/>
  </r>
  <r>
    <x v="5"/>
    <n v="1340.0956406249998"/>
    <n v="36"/>
    <n v="48243.443062499995"/>
    <n v="6824.34430625"/>
    <n v="41419.098756249994"/>
    <n v="0.85854358907574291"/>
  </r>
  <r>
    <x v="6"/>
    <n v="1407.1004226562497"/>
    <n v="36"/>
    <n v="50655.615215624988"/>
    <n v="7065.5615215624994"/>
    <n v="43590.053694062488"/>
    <n v="0.86051770388165982"/>
  </r>
  <r>
    <x v="7"/>
    <n v="1477.4554437890624"/>
    <n v="36"/>
    <n v="53188.395976406246"/>
    <n v="7318.8395976406246"/>
    <n v="45869.556378765621"/>
    <n v="0.86239781322062847"/>
  </r>
  <r>
    <x v="8"/>
    <n v="1551.3282159785156"/>
    <n v="36"/>
    <n v="55847.815775226562"/>
    <n v="7584.7815775226563"/>
    <n v="48263.034197703906"/>
    <n v="0.86418839354345567"/>
  </r>
  <r>
    <x v="9"/>
    <n v="1628.8946267774413"/>
    <n v="36"/>
    <n v="58640.206563987886"/>
    <n v="7864.0206563987886"/>
    <n v="50776.185907589097"/>
    <n v="0.86589370813662447"/>
  </r>
  <r>
    <x v="10"/>
    <n v="1710.3393581163134"/>
    <n v="36"/>
    <n v="61572.21689218728"/>
    <n v="8157.221689218728"/>
    <n v="53414.995202968552"/>
    <n v="0.86751781727297572"/>
  </r>
  <r>
    <x v="11"/>
    <n v="1795.8563260221292"/>
    <n v="36"/>
    <n v="64650.827736796651"/>
    <n v="8465.0827736796655"/>
    <n v="56185.744963116987"/>
    <n v="0.869064587879024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BA0050-6C68-4F60-8995-A97C38AAC803}"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13:I26" firstHeaderRow="1" firstDataRow="1" firstDataCol="1"/>
  <pivotFields count="7">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numFmtId="10" showAll="0"/>
  </pivotFields>
  <rowFields count="1">
    <field x="0"/>
  </rowFields>
  <rowItems count="13">
    <i>
      <x/>
    </i>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94CF405-BC27-4ACE-8457-1F83BBBF3124}" sourceName="Month">
  <pivotTables>
    <pivotTable tabId="5" name="PivotTable2"/>
  </pivotTables>
  <data>
    <tabular pivotCacheId="1">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D99C4A6-1E95-44A4-9E36-5733DA1EF091}" cache="Slicer_Month" caption="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3A25AA-0454-49C9-A546-E68C0E8ACEC4}" name="Table2" displayName="Table2" ref="A13:G25" totalsRowShown="0" headerRowDxfId="1">
  <autoFilter ref="A13:G25" xr:uid="{8F4AE057-644A-4FDB-86AC-6980262749BB}"/>
  <tableColumns count="7">
    <tableColumn id="1" xr3:uid="{B658E9D4-3436-42B1-9477-53E4B3CA8B27}" name="Month"/>
    <tableColumn id="2" xr3:uid="{377FA4A5-E824-48E7-BD10-2F6E5C4C1A43}" name="Ending Customers">
      <calculatedColumnFormula>Sheet3!F11</calculatedColumnFormula>
    </tableColumn>
    <tableColumn id="3" xr3:uid="{07798C96-29B6-4F9B-A265-93BE1952DB96}" name="ARPU"/>
    <tableColumn id="4" xr3:uid="{A4049ABE-ECAD-4A50-BBBC-53AD3C3A9B23}" name="Monthly Revenue"/>
    <tableColumn id="5" xr3:uid="{9CD6AB1D-5777-4D66-9FD7-D739A8151D01}" name="Total Cost">
      <calculatedColumnFormula>$C$7+($C$8*D14)</calculatedColumnFormula>
    </tableColumn>
    <tableColumn id="6" xr3:uid="{9945115D-99BA-482C-940B-F4416E7AF16C}" name="Profit">
      <calculatedColumnFormula>D14-E14</calculatedColumnFormula>
    </tableColumn>
    <tableColumn id="7" xr3:uid="{2089F9FF-A73D-4DFE-8738-961A13134B56}" name="Profit Margin" dataDxfId="0">
      <calculatedColumnFormula>F14/D14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91FC4-6797-41EC-9A00-D6A7B9A4C20D}">
  <dimension ref="A1:B7"/>
  <sheetViews>
    <sheetView workbookViewId="0">
      <selection activeCell="B7" sqref="B7"/>
    </sheetView>
  </sheetViews>
  <sheetFormatPr defaultRowHeight="15" x14ac:dyDescent="0.25"/>
  <cols>
    <col min="1" max="1" width="23.5703125" customWidth="1"/>
    <col min="2" max="2" width="36.42578125" customWidth="1"/>
  </cols>
  <sheetData>
    <row r="1" spans="1:2" ht="21" x14ac:dyDescent="0.35">
      <c r="A1" s="1" t="s">
        <v>0</v>
      </c>
      <c r="B1" s="1" t="s">
        <v>1</v>
      </c>
    </row>
    <row r="2" spans="1:2" x14ac:dyDescent="0.25">
      <c r="A2" t="s">
        <v>2</v>
      </c>
      <c r="B2" t="s">
        <v>119</v>
      </c>
    </row>
    <row r="3" spans="1:2" x14ac:dyDescent="0.25">
      <c r="A3" t="s">
        <v>3</v>
      </c>
      <c r="B3" s="28" t="s">
        <v>120</v>
      </c>
    </row>
    <row r="4" spans="1:2" x14ac:dyDescent="0.25">
      <c r="A4" t="s">
        <v>4</v>
      </c>
      <c r="B4" t="s">
        <v>121</v>
      </c>
    </row>
    <row r="5" spans="1:2" x14ac:dyDescent="0.25">
      <c r="A5" t="s">
        <v>5</v>
      </c>
      <c r="B5" t="s">
        <v>118</v>
      </c>
    </row>
    <row r="6" spans="1:2" x14ac:dyDescent="0.25">
      <c r="A6" t="s">
        <v>6</v>
      </c>
      <c r="B6" s="34">
        <v>46010</v>
      </c>
    </row>
    <row r="7" spans="1:2" x14ac:dyDescent="0.25">
      <c r="A7" t="s">
        <v>7</v>
      </c>
      <c r="B7" t="s">
        <v>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3548F-3015-4A07-BDCB-5C1BE827A88C}">
  <dimension ref="A1:B30"/>
  <sheetViews>
    <sheetView workbookViewId="0">
      <selection activeCell="B11" sqref="B11"/>
    </sheetView>
  </sheetViews>
  <sheetFormatPr defaultRowHeight="15" x14ac:dyDescent="0.25"/>
  <cols>
    <col min="1" max="1" width="32" customWidth="1"/>
    <col min="2" max="2" width="13.42578125" customWidth="1"/>
  </cols>
  <sheetData>
    <row r="1" spans="1:2" ht="21" x14ac:dyDescent="0.35">
      <c r="A1" s="2" t="s">
        <v>9</v>
      </c>
    </row>
    <row r="2" spans="1:2" ht="15.75" x14ac:dyDescent="0.25">
      <c r="A2" s="5" t="s">
        <v>10</v>
      </c>
      <c r="B2" s="5" t="s">
        <v>1</v>
      </c>
    </row>
    <row r="3" spans="1:2" x14ac:dyDescent="0.25">
      <c r="A3" t="s">
        <v>11</v>
      </c>
      <c r="B3" s="3">
        <v>45658</v>
      </c>
    </row>
    <row r="4" spans="1:2" x14ac:dyDescent="0.25">
      <c r="A4" t="s">
        <v>12</v>
      </c>
      <c r="B4">
        <v>12</v>
      </c>
    </row>
    <row r="9" spans="1:2" ht="21" x14ac:dyDescent="0.35">
      <c r="A9" s="2" t="s">
        <v>13</v>
      </c>
    </row>
    <row r="10" spans="1:2" ht="15.75" x14ac:dyDescent="0.25">
      <c r="A10" s="5" t="s">
        <v>10</v>
      </c>
      <c r="B10" s="5" t="s">
        <v>1</v>
      </c>
    </row>
    <row r="11" spans="1:2" x14ac:dyDescent="0.25">
      <c r="A11" t="s">
        <v>14</v>
      </c>
      <c r="B11">
        <v>20</v>
      </c>
    </row>
    <row r="12" spans="1:2" x14ac:dyDescent="0.25">
      <c r="A12" t="s">
        <v>15</v>
      </c>
      <c r="B12">
        <v>1000</v>
      </c>
    </row>
    <row r="13" spans="1:2" x14ac:dyDescent="0.25">
      <c r="A13" t="s">
        <v>16</v>
      </c>
      <c r="B13" s="4">
        <v>0.08</v>
      </c>
    </row>
    <row r="18" spans="1:2" ht="21" x14ac:dyDescent="0.35">
      <c r="A18" s="2" t="s">
        <v>17</v>
      </c>
    </row>
    <row r="19" spans="1:2" ht="15.75" x14ac:dyDescent="0.25">
      <c r="A19" s="5" t="s">
        <v>10</v>
      </c>
      <c r="B19" s="5" t="s">
        <v>1</v>
      </c>
    </row>
    <row r="20" spans="1:2" x14ac:dyDescent="0.25">
      <c r="A20" t="s">
        <v>20</v>
      </c>
      <c r="B20">
        <v>120</v>
      </c>
    </row>
    <row r="21" spans="1:2" x14ac:dyDescent="0.25">
      <c r="A21" t="s">
        <v>21</v>
      </c>
      <c r="B21">
        <v>2000</v>
      </c>
    </row>
    <row r="22" spans="1:2" x14ac:dyDescent="0.25">
      <c r="A22" t="s">
        <v>22</v>
      </c>
      <c r="B22">
        <v>25000</v>
      </c>
    </row>
    <row r="23" spans="1:2" x14ac:dyDescent="0.25">
      <c r="A23" t="s">
        <v>23</v>
      </c>
      <c r="B23">
        <v>10000</v>
      </c>
    </row>
    <row r="27" spans="1:2" ht="21" x14ac:dyDescent="0.35">
      <c r="A27" s="2" t="s">
        <v>18</v>
      </c>
    </row>
    <row r="28" spans="1:2" ht="15.75" x14ac:dyDescent="0.25">
      <c r="A28" s="5" t="s">
        <v>10</v>
      </c>
      <c r="B28" s="5" t="s">
        <v>1</v>
      </c>
    </row>
    <row r="29" spans="1:2" x14ac:dyDescent="0.25">
      <c r="A29" t="s">
        <v>19</v>
      </c>
      <c r="B29" s="4">
        <v>0.3</v>
      </c>
    </row>
    <row r="30" spans="1:2" x14ac:dyDescent="0.25">
      <c r="A30" t="s">
        <v>24</v>
      </c>
      <c r="B30">
        <v>50000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8C0A8-DEA9-4457-B889-C471EA2A5614}">
  <dimension ref="A1:F22"/>
  <sheetViews>
    <sheetView workbookViewId="0">
      <selection activeCell="C3" sqref="C3"/>
    </sheetView>
  </sheetViews>
  <sheetFormatPr defaultRowHeight="15" x14ac:dyDescent="0.25"/>
  <cols>
    <col min="1" max="1" width="34" customWidth="1"/>
    <col min="2" max="2" width="23.5703125" customWidth="1"/>
    <col min="3" max="3" width="20.42578125" customWidth="1"/>
    <col min="4" max="4" width="18" customWidth="1"/>
    <col min="5" max="5" width="12.7109375" customWidth="1"/>
    <col min="6" max="6" width="18.5703125" customWidth="1"/>
  </cols>
  <sheetData>
    <row r="1" spans="1:6" ht="15.75" x14ac:dyDescent="0.25">
      <c r="A1" s="6" t="s">
        <v>38</v>
      </c>
      <c r="B1" s="6" t="s">
        <v>39</v>
      </c>
      <c r="C1" s="6" t="s">
        <v>1</v>
      </c>
    </row>
    <row r="2" spans="1:6" x14ac:dyDescent="0.25">
      <c r="A2" s="7" t="s">
        <v>40</v>
      </c>
      <c r="B2" s="7" t="s">
        <v>67</v>
      </c>
      <c r="C2" s="8">
        <v>0.08</v>
      </c>
    </row>
    <row r="3" spans="1:6" x14ac:dyDescent="0.25">
      <c r="A3" s="7" t="s">
        <v>41</v>
      </c>
      <c r="B3" s="7" t="s">
        <v>68</v>
      </c>
      <c r="C3" s="7">
        <v>5000</v>
      </c>
    </row>
    <row r="4" spans="1:6" x14ac:dyDescent="0.25">
      <c r="A4" s="7" t="s">
        <v>42</v>
      </c>
      <c r="B4" s="7" t="s">
        <v>69</v>
      </c>
      <c r="C4" s="7">
        <v>2</v>
      </c>
    </row>
    <row r="5" spans="1:6" x14ac:dyDescent="0.25">
      <c r="A5" s="7" t="s">
        <v>43</v>
      </c>
      <c r="B5" s="7" t="s">
        <v>45</v>
      </c>
      <c r="C5" s="8">
        <v>0.12</v>
      </c>
    </row>
    <row r="6" spans="1:6" x14ac:dyDescent="0.25">
      <c r="A6" s="7" t="s">
        <v>44</v>
      </c>
      <c r="B6" s="7" t="s">
        <v>46</v>
      </c>
      <c r="C6" s="8">
        <v>0.03</v>
      </c>
    </row>
    <row r="10" spans="1:6" ht="15.75" x14ac:dyDescent="0.25">
      <c r="A10" s="5" t="s">
        <v>25</v>
      </c>
      <c r="B10" s="5" t="s">
        <v>49</v>
      </c>
      <c r="C10" s="5" t="s">
        <v>50</v>
      </c>
      <c r="D10" s="5" t="s">
        <v>51</v>
      </c>
      <c r="E10" s="5" t="s">
        <v>52</v>
      </c>
      <c r="F10" s="5" t="s">
        <v>53</v>
      </c>
    </row>
    <row r="11" spans="1:6" x14ac:dyDescent="0.25">
      <c r="A11" t="s">
        <v>26</v>
      </c>
      <c r="B11">
        <v>1000</v>
      </c>
      <c r="C11" s="4">
        <f>C2</f>
        <v>0.08</v>
      </c>
      <c r="D11">
        <f>B11*C2</f>
        <v>80</v>
      </c>
      <c r="E11">
        <f>B11*C6</f>
        <v>30</v>
      </c>
      <c r="F11">
        <f t="shared" ref="F11:F22" si="0">B11+D11-E11</f>
        <v>1050</v>
      </c>
    </row>
    <row r="12" spans="1:6" x14ac:dyDescent="0.25">
      <c r="A12" t="s">
        <v>27</v>
      </c>
      <c r="B12">
        <f>F11</f>
        <v>1050</v>
      </c>
      <c r="C12" s="4">
        <f>C2</f>
        <v>0.08</v>
      </c>
      <c r="D12">
        <f>B12*C2</f>
        <v>84</v>
      </c>
      <c r="E12">
        <f>B12*C6</f>
        <v>31.5</v>
      </c>
      <c r="F12">
        <f t="shared" si="0"/>
        <v>1102.5</v>
      </c>
    </row>
    <row r="13" spans="1:6" x14ac:dyDescent="0.25">
      <c r="A13" t="s">
        <v>28</v>
      </c>
      <c r="B13">
        <f>F12</f>
        <v>1102.5</v>
      </c>
      <c r="C13" s="4">
        <f>C2</f>
        <v>0.08</v>
      </c>
      <c r="D13">
        <f>B13*C2</f>
        <v>88.2</v>
      </c>
      <c r="E13">
        <f>B13*C6</f>
        <v>33.074999999999996</v>
      </c>
      <c r="F13">
        <f t="shared" si="0"/>
        <v>1157.625</v>
      </c>
    </row>
    <row r="14" spans="1:6" x14ac:dyDescent="0.25">
      <c r="A14" t="s">
        <v>29</v>
      </c>
      <c r="B14">
        <f>F13</f>
        <v>1157.625</v>
      </c>
      <c r="C14" s="4">
        <f>C2</f>
        <v>0.08</v>
      </c>
      <c r="D14">
        <f>B14*C2</f>
        <v>92.61</v>
      </c>
      <c r="E14">
        <f>B14*C6</f>
        <v>34.728749999999998</v>
      </c>
      <c r="F14">
        <f t="shared" si="0"/>
        <v>1215.5062499999999</v>
      </c>
    </row>
    <row r="15" spans="1:6" x14ac:dyDescent="0.25">
      <c r="A15" t="s">
        <v>30</v>
      </c>
      <c r="B15">
        <f>F14</f>
        <v>1215.5062499999999</v>
      </c>
      <c r="C15" s="4">
        <f>C2</f>
        <v>0.08</v>
      </c>
      <c r="D15">
        <f>B15*C2</f>
        <v>97.240499999999997</v>
      </c>
      <c r="E15">
        <f>B15*C6</f>
        <v>36.465187499999999</v>
      </c>
      <c r="F15" s="14">
        <f t="shared" si="0"/>
        <v>1276.2815624999998</v>
      </c>
    </row>
    <row r="16" spans="1:6" x14ac:dyDescent="0.25">
      <c r="A16" t="s">
        <v>31</v>
      </c>
      <c r="B16">
        <f>F15</f>
        <v>1276.2815624999998</v>
      </c>
      <c r="C16" s="4">
        <f>C2</f>
        <v>0.08</v>
      </c>
      <c r="D16">
        <f>B16*C2</f>
        <v>102.10252499999999</v>
      </c>
      <c r="E16">
        <f>B16*C6</f>
        <v>38.288446874999991</v>
      </c>
      <c r="F16">
        <f t="shared" si="0"/>
        <v>1340.0956406249998</v>
      </c>
    </row>
    <row r="17" spans="1:6" x14ac:dyDescent="0.25">
      <c r="A17" t="s">
        <v>32</v>
      </c>
      <c r="B17">
        <f t="shared" ref="B17:B22" si="1">F16</f>
        <v>1340.0956406249998</v>
      </c>
      <c r="C17" s="4">
        <f>C2</f>
        <v>0.08</v>
      </c>
      <c r="D17">
        <f>B17*C2</f>
        <v>107.20765124999998</v>
      </c>
      <c r="E17">
        <f>B17*C6</f>
        <v>40.202869218749989</v>
      </c>
      <c r="F17">
        <f t="shared" si="0"/>
        <v>1407.1004226562497</v>
      </c>
    </row>
    <row r="18" spans="1:6" x14ac:dyDescent="0.25">
      <c r="A18" t="s">
        <v>33</v>
      </c>
      <c r="B18">
        <f t="shared" si="1"/>
        <v>1407.1004226562497</v>
      </c>
      <c r="C18" s="4">
        <f>C2</f>
        <v>0.08</v>
      </c>
      <c r="D18">
        <f>B18*C2</f>
        <v>112.56803381249998</v>
      </c>
      <c r="E18">
        <f>B18*C6</f>
        <v>42.213012679687488</v>
      </c>
      <c r="F18">
        <f t="shared" si="0"/>
        <v>1477.4554437890624</v>
      </c>
    </row>
    <row r="19" spans="1:6" x14ac:dyDescent="0.25">
      <c r="A19" t="s">
        <v>34</v>
      </c>
      <c r="B19">
        <f t="shared" si="1"/>
        <v>1477.4554437890624</v>
      </c>
      <c r="C19" s="4">
        <f>C2</f>
        <v>0.08</v>
      </c>
      <c r="D19">
        <f>B19*C2</f>
        <v>118.196435503125</v>
      </c>
      <c r="E19">
        <f>B19*C6</f>
        <v>44.323663313671872</v>
      </c>
      <c r="F19">
        <f t="shared" si="0"/>
        <v>1551.3282159785156</v>
      </c>
    </row>
    <row r="20" spans="1:6" x14ac:dyDescent="0.25">
      <c r="A20" t="s">
        <v>35</v>
      </c>
      <c r="B20">
        <f t="shared" si="1"/>
        <v>1551.3282159785156</v>
      </c>
      <c r="C20" s="4">
        <f>C2</f>
        <v>0.08</v>
      </c>
      <c r="D20">
        <f>B20*C2</f>
        <v>124.10625727828125</v>
      </c>
      <c r="E20">
        <f>B20*C6</f>
        <v>46.539846479355468</v>
      </c>
      <c r="F20">
        <f t="shared" si="0"/>
        <v>1628.8946267774413</v>
      </c>
    </row>
    <row r="21" spans="1:6" x14ac:dyDescent="0.25">
      <c r="A21" t="s">
        <v>36</v>
      </c>
      <c r="B21">
        <f t="shared" si="1"/>
        <v>1628.8946267774413</v>
      </c>
      <c r="C21" s="4">
        <f>C2</f>
        <v>0.08</v>
      </c>
      <c r="D21">
        <f>B21*C2</f>
        <v>130.31157014219531</v>
      </c>
      <c r="E21">
        <f>B21*C6</f>
        <v>48.86683880332324</v>
      </c>
      <c r="F21">
        <f t="shared" si="0"/>
        <v>1710.3393581163134</v>
      </c>
    </row>
    <row r="22" spans="1:6" x14ac:dyDescent="0.25">
      <c r="A22" t="s">
        <v>37</v>
      </c>
      <c r="B22">
        <f t="shared" si="1"/>
        <v>1710.3393581163134</v>
      </c>
      <c r="C22" s="4">
        <f>C2</f>
        <v>0.08</v>
      </c>
      <c r="D22">
        <f>B22*C2</f>
        <v>136.82714864930509</v>
      </c>
      <c r="E22">
        <f>B22*C6</f>
        <v>51.310180743489397</v>
      </c>
      <c r="F22">
        <f t="shared" si="0"/>
        <v>1795.8563260221292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03242-874C-44A7-8BA3-90836787CFC5}">
  <dimension ref="A1:I46"/>
  <sheetViews>
    <sheetView workbookViewId="0">
      <selection activeCell="C6" sqref="C6"/>
    </sheetView>
  </sheetViews>
  <sheetFormatPr defaultRowHeight="15" x14ac:dyDescent="0.25"/>
  <cols>
    <col min="1" max="1" width="33.140625" customWidth="1"/>
    <col min="2" max="2" width="20.5703125" customWidth="1"/>
    <col min="3" max="3" width="16.140625" customWidth="1"/>
    <col min="4" max="4" width="20.5703125" customWidth="1"/>
    <col min="5" max="5" width="13.42578125" customWidth="1"/>
    <col min="6" max="6" width="14.5703125" customWidth="1"/>
    <col min="7" max="7" width="16.28515625" customWidth="1"/>
    <col min="9" max="9" width="13.140625" bestFit="1" customWidth="1"/>
    <col min="10" max="10" width="15.140625" bestFit="1" customWidth="1"/>
  </cols>
  <sheetData>
    <row r="1" spans="1:9" ht="15.75" x14ac:dyDescent="0.25">
      <c r="A1" s="6" t="s">
        <v>38</v>
      </c>
      <c r="B1" s="6" t="s">
        <v>57</v>
      </c>
      <c r="C1" s="6" t="s">
        <v>1</v>
      </c>
    </row>
    <row r="2" spans="1:9" x14ac:dyDescent="0.25">
      <c r="A2" s="11" t="s">
        <v>14</v>
      </c>
      <c r="B2" s="11" t="s">
        <v>67</v>
      </c>
      <c r="C2" s="11">
        <v>20</v>
      </c>
    </row>
    <row r="3" spans="1:9" x14ac:dyDescent="0.25">
      <c r="A3" s="7" t="s">
        <v>54</v>
      </c>
      <c r="B3" s="7" t="s">
        <v>68</v>
      </c>
      <c r="C3" s="7">
        <v>2</v>
      </c>
    </row>
    <row r="4" spans="1:9" x14ac:dyDescent="0.25">
      <c r="A4" s="7" t="s">
        <v>55</v>
      </c>
      <c r="B4" s="7" t="s">
        <v>69</v>
      </c>
      <c r="C4" s="8">
        <v>0.1</v>
      </c>
    </row>
    <row r="5" spans="1:9" x14ac:dyDescent="0.25">
      <c r="A5" s="7" t="s">
        <v>56</v>
      </c>
      <c r="B5" s="7" t="s">
        <v>45</v>
      </c>
      <c r="C5" s="15">
        <f>C2*C3*(1-C4)</f>
        <v>36</v>
      </c>
    </row>
    <row r="6" spans="1:9" x14ac:dyDescent="0.25">
      <c r="A6" s="7" t="s">
        <v>60</v>
      </c>
      <c r="B6" s="7" t="s">
        <v>46</v>
      </c>
      <c r="C6" s="7">
        <v>120</v>
      </c>
    </row>
    <row r="7" spans="1:9" x14ac:dyDescent="0.25">
      <c r="A7" s="7" t="s">
        <v>58</v>
      </c>
      <c r="B7" s="7" t="s">
        <v>47</v>
      </c>
      <c r="C7" s="7">
        <v>2000</v>
      </c>
    </row>
    <row r="8" spans="1:9" x14ac:dyDescent="0.25">
      <c r="A8" s="7" t="s">
        <v>59</v>
      </c>
      <c r="B8" s="7" t="s">
        <v>48</v>
      </c>
      <c r="C8" s="8">
        <v>0.1</v>
      </c>
    </row>
    <row r="9" spans="1:9" x14ac:dyDescent="0.25">
      <c r="A9" s="9"/>
      <c r="B9" s="9"/>
      <c r="C9" s="10"/>
    </row>
    <row r="10" spans="1:9" x14ac:dyDescent="0.25">
      <c r="A10" s="9"/>
    </row>
    <row r="13" spans="1:9" ht="15.75" x14ac:dyDescent="0.25">
      <c r="A13" s="5" t="s">
        <v>25</v>
      </c>
      <c r="B13" s="5" t="s">
        <v>53</v>
      </c>
      <c r="C13" s="5" t="s">
        <v>56</v>
      </c>
      <c r="D13" s="5" t="s">
        <v>70</v>
      </c>
      <c r="E13" s="5" t="s">
        <v>64</v>
      </c>
      <c r="F13" s="5" t="s">
        <v>65</v>
      </c>
      <c r="G13" s="16" t="s">
        <v>66</v>
      </c>
      <c r="I13" s="27" t="s">
        <v>75</v>
      </c>
    </row>
    <row r="14" spans="1:9" x14ac:dyDescent="0.25">
      <c r="A14" t="s">
        <v>26</v>
      </c>
      <c r="B14">
        <f>Sheet3!F11</f>
        <v>1050</v>
      </c>
      <c r="C14">
        <f>C5</f>
        <v>36</v>
      </c>
      <c r="D14">
        <f>B14*C5</f>
        <v>37800</v>
      </c>
      <c r="E14">
        <f>C7+(C8*D14)</f>
        <v>5780</v>
      </c>
      <c r="F14">
        <f>D14-E14</f>
        <v>32020</v>
      </c>
      <c r="G14" s="17">
        <f t="shared" ref="G14:G25" si="0">F14/D14</f>
        <v>0.84708994708994712</v>
      </c>
      <c r="I14" s="28" t="s">
        <v>26</v>
      </c>
    </row>
    <row r="15" spans="1:9" x14ac:dyDescent="0.25">
      <c r="A15" t="s">
        <v>27</v>
      </c>
      <c r="B15">
        <f>Sheet3!F12</f>
        <v>1102.5</v>
      </c>
      <c r="C15">
        <f>C5</f>
        <v>36</v>
      </c>
      <c r="D15">
        <f>B15*C5</f>
        <v>39690</v>
      </c>
      <c r="E15">
        <f>C7+(C8*D15)</f>
        <v>5969</v>
      </c>
      <c r="F15">
        <f t="shared" ref="F15" si="1">D15-E15</f>
        <v>33721</v>
      </c>
      <c r="G15" s="17">
        <f t="shared" si="0"/>
        <v>0.84960947341899717</v>
      </c>
      <c r="I15" s="28" t="s">
        <v>27</v>
      </c>
    </row>
    <row r="16" spans="1:9" x14ac:dyDescent="0.25">
      <c r="A16" t="s">
        <v>28</v>
      </c>
      <c r="B16">
        <f>Sheet3!F13</f>
        <v>1157.625</v>
      </c>
      <c r="C16">
        <f>C5</f>
        <v>36</v>
      </c>
      <c r="D16">
        <f>B16*C5</f>
        <v>41674.5</v>
      </c>
      <c r="E16">
        <f>C7+(C8*D16)</f>
        <v>6167.45</v>
      </c>
      <c r="F16">
        <f>D16-E16</f>
        <v>35507.050000000003</v>
      </c>
      <c r="G16" s="17">
        <f t="shared" si="0"/>
        <v>0.85200902230380693</v>
      </c>
      <c r="I16" s="28" t="s">
        <v>28</v>
      </c>
    </row>
    <row r="17" spans="1:9" x14ac:dyDescent="0.25">
      <c r="A17" t="s">
        <v>29</v>
      </c>
      <c r="B17">
        <f>Sheet3!F14</f>
        <v>1215.5062499999999</v>
      </c>
      <c r="C17">
        <f>C5</f>
        <v>36</v>
      </c>
      <c r="D17">
        <f>B17*C5</f>
        <v>43758.224999999999</v>
      </c>
      <c r="E17">
        <f t="shared" ref="E17:E25" si="2">$C$7+($C$8*D17)</f>
        <v>6375.8225000000002</v>
      </c>
      <c r="F17">
        <f>$D$17-$E$17</f>
        <v>37382.402499999997</v>
      </c>
      <c r="G17" s="17">
        <f t="shared" si="0"/>
        <v>0.8542943069560065</v>
      </c>
      <c r="I17" s="28" t="s">
        <v>29</v>
      </c>
    </row>
    <row r="18" spans="1:9" x14ac:dyDescent="0.25">
      <c r="A18" t="s">
        <v>30</v>
      </c>
      <c r="B18">
        <f>Sheet3!F15</f>
        <v>1276.2815624999998</v>
      </c>
      <c r="C18">
        <f>C5</f>
        <v>36</v>
      </c>
      <c r="D18">
        <f>B18*C5</f>
        <v>45946.136249999996</v>
      </c>
      <c r="E18">
        <f t="shared" si="2"/>
        <v>6594.613625</v>
      </c>
      <c r="F18">
        <f t="shared" ref="F18:F25" si="3">D18-E18</f>
        <v>39351.522624999998</v>
      </c>
      <c r="G18" s="17">
        <f t="shared" si="0"/>
        <v>0.85647076852953008</v>
      </c>
      <c r="I18" s="28" t="s">
        <v>30</v>
      </c>
    </row>
    <row r="19" spans="1:9" x14ac:dyDescent="0.25">
      <c r="A19" t="s">
        <v>31</v>
      </c>
      <c r="B19">
        <f>Sheet3!F16</f>
        <v>1340.0956406249998</v>
      </c>
      <c r="C19">
        <f>C5</f>
        <v>36</v>
      </c>
      <c r="D19">
        <f>B19*C5</f>
        <v>48243.443062499995</v>
      </c>
      <c r="E19">
        <f t="shared" si="2"/>
        <v>6824.34430625</v>
      </c>
      <c r="F19">
        <f t="shared" si="3"/>
        <v>41419.098756249994</v>
      </c>
      <c r="G19" s="17">
        <f t="shared" si="0"/>
        <v>0.85854358907574291</v>
      </c>
      <c r="I19" s="28" t="s">
        <v>31</v>
      </c>
    </row>
    <row r="20" spans="1:9" x14ac:dyDescent="0.25">
      <c r="A20" t="s">
        <v>32</v>
      </c>
      <c r="B20">
        <f>Sheet3!F17</f>
        <v>1407.1004226562497</v>
      </c>
      <c r="C20">
        <f>C5</f>
        <v>36</v>
      </c>
      <c r="D20">
        <f>B20*C5</f>
        <v>50655.615215624988</v>
      </c>
      <c r="E20">
        <f t="shared" si="2"/>
        <v>7065.5615215624994</v>
      </c>
      <c r="F20">
        <f t="shared" si="3"/>
        <v>43590.053694062488</v>
      </c>
      <c r="G20" s="17">
        <f t="shared" si="0"/>
        <v>0.86051770388165982</v>
      </c>
      <c r="I20" s="28" t="s">
        <v>32</v>
      </c>
    </row>
    <row r="21" spans="1:9" x14ac:dyDescent="0.25">
      <c r="A21" t="s">
        <v>33</v>
      </c>
      <c r="B21">
        <f>Sheet3!F18</f>
        <v>1477.4554437890624</v>
      </c>
      <c r="C21">
        <f>C5</f>
        <v>36</v>
      </c>
      <c r="D21">
        <f>B21*C5</f>
        <v>53188.395976406246</v>
      </c>
      <c r="E21">
        <f t="shared" si="2"/>
        <v>7318.8395976406246</v>
      </c>
      <c r="F21">
        <f t="shared" si="3"/>
        <v>45869.556378765621</v>
      </c>
      <c r="G21" s="17">
        <f t="shared" si="0"/>
        <v>0.86239781322062847</v>
      </c>
      <c r="I21" s="28" t="s">
        <v>33</v>
      </c>
    </row>
    <row r="22" spans="1:9" x14ac:dyDescent="0.25">
      <c r="A22" t="s">
        <v>34</v>
      </c>
      <c r="B22">
        <f>Sheet3!F19</f>
        <v>1551.3282159785156</v>
      </c>
      <c r="C22">
        <f>C5</f>
        <v>36</v>
      </c>
      <c r="D22">
        <f>B22*C5</f>
        <v>55847.815775226562</v>
      </c>
      <c r="E22">
        <f t="shared" si="2"/>
        <v>7584.7815775226563</v>
      </c>
      <c r="F22">
        <f t="shared" si="3"/>
        <v>48263.034197703906</v>
      </c>
      <c r="G22" s="17">
        <f t="shared" si="0"/>
        <v>0.86418839354345567</v>
      </c>
      <c r="I22" s="28" t="s">
        <v>34</v>
      </c>
    </row>
    <row r="23" spans="1:9" x14ac:dyDescent="0.25">
      <c r="A23" t="s">
        <v>35</v>
      </c>
      <c r="B23">
        <f>Sheet3!F20</f>
        <v>1628.8946267774413</v>
      </c>
      <c r="C23">
        <f>C5</f>
        <v>36</v>
      </c>
      <c r="D23">
        <f>B23*C5</f>
        <v>58640.206563987886</v>
      </c>
      <c r="E23">
        <f t="shared" si="2"/>
        <v>7864.0206563987886</v>
      </c>
      <c r="F23">
        <f t="shared" si="3"/>
        <v>50776.185907589097</v>
      </c>
      <c r="G23" s="17">
        <f t="shared" si="0"/>
        <v>0.86589370813662447</v>
      </c>
      <c r="I23" s="28" t="s">
        <v>35</v>
      </c>
    </row>
    <row r="24" spans="1:9" x14ac:dyDescent="0.25">
      <c r="A24" t="s">
        <v>36</v>
      </c>
      <c r="B24">
        <f>Sheet3!F21</f>
        <v>1710.3393581163134</v>
      </c>
      <c r="C24">
        <f>C5</f>
        <v>36</v>
      </c>
      <c r="D24">
        <f>B24*C5</f>
        <v>61572.21689218728</v>
      </c>
      <c r="E24">
        <f t="shared" si="2"/>
        <v>8157.221689218728</v>
      </c>
      <c r="F24">
        <f t="shared" si="3"/>
        <v>53414.995202968552</v>
      </c>
      <c r="G24" s="17">
        <f t="shared" si="0"/>
        <v>0.86751781727297572</v>
      </c>
      <c r="I24" s="28" t="s">
        <v>36</v>
      </c>
    </row>
    <row r="25" spans="1:9" x14ac:dyDescent="0.25">
      <c r="A25" t="s">
        <v>37</v>
      </c>
      <c r="B25">
        <f>Sheet3!F22</f>
        <v>1795.8563260221292</v>
      </c>
      <c r="C25">
        <f>C5</f>
        <v>36</v>
      </c>
      <c r="D25">
        <f>B25*C5</f>
        <v>64650.827736796651</v>
      </c>
      <c r="E25">
        <f t="shared" si="2"/>
        <v>8465.0827736796655</v>
      </c>
      <c r="F25">
        <f t="shared" si="3"/>
        <v>56185.744963116987</v>
      </c>
      <c r="G25" s="17">
        <f t="shared" si="0"/>
        <v>0.86906458787902452</v>
      </c>
      <c r="I25" s="28" t="s">
        <v>37</v>
      </c>
    </row>
    <row r="26" spans="1:9" x14ac:dyDescent="0.25">
      <c r="I26" s="28" t="s">
        <v>76</v>
      </c>
    </row>
    <row r="30" spans="1:9" ht="15.75" x14ac:dyDescent="0.25">
      <c r="A30" s="5"/>
      <c r="B30" s="5"/>
      <c r="C30" s="30"/>
      <c r="D30" s="5"/>
      <c r="E30" s="5"/>
    </row>
    <row r="31" spans="1:9" x14ac:dyDescent="0.25">
      <c r="A31" s="4"/>
      <c r="C31" s="14"/>
      <c r="D31" s="4"/>
    </row>
    <row r="32" spans="1:9" x14ac:dyDescent="0.25">
      <c r="A32" s="4"/>
      <c r="C32" s="14"/>
      <c r="D32" s="4"/>
    </row>
    <row r="33" spans="1:4" x14ac:dyDescent="0.25">
      <c r="A33" s="4"/>
      <c r="C33" s="14"/>
      <c r="D33" s="4"/>
    </row>
    <row r="34" spans="1:4" x14ac:dyDescent="0.25">
      <c r="A34" s="4"/>
      <c r="C34" s="14"/>
      <c r="D34" s="4"/>
    </row>
    <row r="35" spans="1:4" x14ac:dyDescent="0.25">
      <c r="A35" s="4"/>
      <c r="C35" s="14"/>
      <c r="D35" s="4"/>
    </row>
    <row r="36" spans="1:4" x14ac:dyDescent="0.25">
      <c r="A36" s="4"/>
      <c r="C36" s="14"/>
      <c r="D36" s="4"/>
    </row>
    <row r="40" spans="1:4" ht="15.75" x14ac:dyDescent="0.25">
      <c r="A40" s="5"/>
      <c r="B40" s="5"/>
      <c r="C40" s="5"/>
    </row>
    <row r="41" spans="1:4" x14ac:dyDescent="0.25">
      <c r="A41" s="4"/>
      <c r="C41" s="29"/>
    </row>
    <row r="42" spans="1:4" x14ac:dyDescent="0.25">
      <c r="A42" s="4"/>
      <c r="C42" s="29"/>
    </row>
    <row r="43" spans="1:4" x14ac:dyDescent="0.25">
      <c r="A43" s="4"/>
      <c r="C43" s="29"/>
    </row>
    <row r="44" spans="1:4" x14ac:dyDescent="0.25">
      <c r="A44" s="4"/>
      <c r="C44" s="29"/>
    </row>
    <row r="45" spans="1:4" x14ac:dyDescent="0.25">
      <c r="A45" s="4"/>
      <c r="C45" s="29"/>
    </row>
    <row r="46" spans="1:4" x14ac:dyDescent="0.25">
      <c r="A46" s="4"/>
      <c r="C46" s="29"/>
    </row>
  </sheetData>
  <pageMargins left="0.7" right="0.7" top="0.75" bottom="0.75" header="0.3" footer="0.3"/>
  <pageSetup orientation="portrait"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1B444-6AE8-4FD0-8848-158F9869B9B4}">
  <dimension ref="A1:C5"/>
  <sheetViews>
    <sheetView workbookViewId="0">
      <selection activeCell="C15" sqref="C15"/>
    </sheetView>
  </sheetViews>
  <sheetFormatPr defaultRowHeight="15" x14ac:dyDescent="0.25"/>
  <cols>
    <col min="1" max="1" width="20.85546875" customWidth="1"/>
    <col min="2" max="2" width="18.28515625" customWidth="1"/>
    <col min="3" max="3" width="20.85546875" customWidth="1"/>
  </cols>
  <sheetData>
    <row r="1" spans="1:3" ht="15.75" x14ac:dyDescent="0.25">
      <c r="A1" s="6" t="s">
        <v>61</v>
      </c>
      <c r="B1" s="6" t="s">
        <v>62</v>
      </c>
      <c r="C1" s="6" t="s">
        <v>1</v>
      </c>
    </row>
    <row r="2" spans="1:3" x14ac:dyDescent="0.25">
      <c r="A2" s="13" t="s">
        <v>63</v>
      </c>
      <c r="B2" s="7"/>
      <c r="C2" s="13">
        <f>SUM(Sheet4!F14:F25)</f>
        <v>517500.64422545669</v>
      </c>
    </row>
    <row r="3" spans="1:3" x14ac:dyDescent="0.25">
      <c r="A3" s="13" t="s">
        <v>64</v>
      </c>
      <c r="B3" s="7"/>
      <c r="C3" s="13">
        <f>SUM(Sheet4!E14:E25)</f>
        <v>84166.738247272951</v>
      </c>
    </row>
    <row r="4" spans="1:3" x14ac:dyDescent="0.25">
      <c r="A4" s="13" t="s">
        <v>65</v>
      </c>
      <c r="B4" s="7"/>
      <c r="C4" s="13">
        <f>C2-C3</f>
        <v>433333.90597818373</v>
      </c>
    </row>
    <row r="5" spans="1:3" x14ac:dyDescent="0.25">
      <c r="A5" s="12" t="s">
        <v>66</v>
      </c>
      <c r="B5" s="7"/>
      <c r="C5" s="12">
        <f>C4/C2</f>
        <v>0.83735916237699504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3FFB3-DD6D-4432-BF7F-EA43F51D0405}">
  <dimension ref="A1:E38"/>
  <sheetViews>
    <sheetView showGridLines="0" zoomScaleNormal="100" workbookViewId="0">
      <selection activeCell="C5" sqref="C5"/>
    </sheetView>
  </sheetViews>
  <sheetFormatPr defaultRowHeight="15" x14ac:dyDescent="0.25"/>
  <cols>
    <col min="1" max="1" width="58.7109375" customWidth="1"/>
    <col min="2" max="2" width="20.85546875" customWidth="1"/>
    <col min="3" max="3" width="25" customWidth="1"/>
    <col min="4" max="4" width="18" customWidth="1"/>
  </cols>
  <sheetData>
    <row r="1" spans="1:4" ht="27" thickBot="1" x14ac:dyDescent="0.3">
      <c r="A1" s="26" t="s">
        <v>71</v>
      </c>
    </row>
    <row r="3" spans="1:4" ht="15.75" thickBot="1" x14ac:dyDescent="0.3"/>
    <row r="4" spans="1:4" x14ac:dyDescent="0.25">
      <c r="A4" s="21" t="s">
        <v>63</v>
      </c>
      <c r="B4" s="22" t="s">
        <v>64</v>
      </c>
      <c r="C4" s="22" t="s">
        <v>74</v>
      </c>
      <c r="D4" s="24" t="s">
        <v>66</v>
      </c>
    </row>
    <row r="5" spans="1:4" ht="15.75" thickBot="1" x14ac:dyDescent="0.3">
      <c r="A5" s="20">
        <f>Sheet5!C2</f>
        <v>517500.64422545669</v>
      </c>
      <c r="B5" s="23">
        <f>Sheet5!C3</f>
        <v>84166.738247272951</v>
      </c>
      <c r="C5" s="23">
        <f>Sheet5!C4</f>
        <v>433333.90597818373</v>
      </c>
      <c r="D5" s="25">
        <f>Sheet5!C5</f>
        <v>0.83735916237699504</v>
      </c>
    </row>
    <row r="9" spans="1:4" ht="15.75" x14ac:dyDescent="0.25">
      <c r="A9" s="5" t="s">
        <v>25</v>
      </c>
      <c r="B9" s="5" t="s">
        <v>72</v>
      </c>
      <c r="C9" s="5" t="s">
        <v>73</v>
      </c>
      <c r="D9" s="18" t="s">
        <v>66</v>
      </c>
    </row>
    <row r="10" spans="1:4" x14ac:dyDescent="0.25">
      <c r="A10" t="s">
        <v>26</v>
      </c>
      <c r="B10">
        <f>Sheet4!D14</f>
        <v>37800</v>
      </c>
      <c r="C10">
        <f>Sheet4!E14</f>
        <v>5780</v>
      </c>
      <c r="D10" s="19">
        <f>Sheet4!G14</f>
        <v>0.84708994708994712</v>
      </c>
    </row>
    <row r="11" spans="1:4" x14ac:dyDescent="0.25">
      <c r="A11" t="s">
        <v>27</v>
      </c>
      <c r="B11">
        <f>Sheet4!D15</f>
        <v>39690</v>
      </c>
      <c r="C11">
        <f>Sheet4!E15</f>
        <v>5969</v>
      </c>
      <c r="D11" s="19">
        <f>Sheet4!G15</f>
        <v>0.84960947341899717</v>
      </c>
    </row>
    <row r="12" spans="1:4" x14ac:dyDescent="0.25">
      <c r="A12" t="s">
        <v>28</v>
      </c>
      <c r="B12">
        <f>Sheet4!D16</f>
        <v>41674.5</v>
      </c>
      <c r="C12">
        <f>Sheet4!E16</f>
        <v>6167.45</v>
      </c>
      <c r="D12" s="19">
        <f>Sheet4!G16</f>
        <v>0.85200902230380693</v>
      </c>
    </row>
    <row r="13" spans="1:4" x14ac:dyDescent="0.25">
      <c r="A13" t="s">
        <v>29</v>
      </c>
      <c r="B13">
        <f>Sheet4!D17</f>
        <v>43758.224999999999</v>
      </c>
      <c r="C13">
        <f>Sheet4!E17</f>
        <v>6375.8225000000002</v>
      </c>
      <c r="D13" s="19">
        <f>Sheet4!G17</f>
        <v>0.8542943069560065</v>
      </c>
    </row>
    <row r="14" spans="1:4" x14ac:dyDescent="0.25">
      <c r="A14" t="s">
        <v>30</v>
      </c>
      <c r="B14">
        <f>Sheet4!D18</f>
        <v>45946.136249999996</v>
      </c>
      <c r="C14">
        <f>Sheet4!E18</f>
        <v>6594.613625</v>
      </c>
      <c r="D14" s="19">
        <f>Sheet4!G18</f>
        <v>0.85647076852953008</v>
      </c>
    </row>
    <row r="15" spans="1:4" x14ac:dyDescent="0.25">
      <c r="A15" t="s">
        <v>31</v>
      </c>
      <c r="B15">
        <f>Sheet4!D19</f>
        <v>48243.443062499995</v>
      </c>
      <c r="C15">
        <f>Sheet4!E19</f>
        <v>6824.34430625</v>
      </c>
      <c r="D15" s="19">
        <f>Sheet4!G19</f>
        <v>0.85854358907574291</v>
      </c>
    </row>
    <row r="16" spans="1:4" x14ac:dyDescent="0.25">
      <c r="A16" t="s">
        <v>32</v>
      </c>
      <c r="B16">
        <f>Sheet4!D20</f>
        <v>50655.615215624988</v>
      </c>
      <c r="C16">
        <f>Sheet4!E20</f>
        <v>7065.5615215624994</v>
      </c>
      <c r="D16" s="19">
        <f>Sheet4!G20</f>
        <v>0.86051770388165982</v>
      </c>
    </row>
    <row r="17" spans="1:5" x14ac:dyDescent="0.25">
      <c r="A17" t="s">
        <v>33</v>
      </c>
      <c r="B17">
        <f>Sheet4!D21</f>
        <v>53188.395976406246</v>
      </c>
      <c r="C17">
        <f>Sheet4!E21</f>
        <v>7318.8395976406246</v>
      </c>
      <c r="D17" s="19">
        <f>Sheet4!G21</f>
        <v>0.86239781322062847</v>
      </c>
    </row>
    <row r="18" spans="1:5" x14ac:dyDescent="0.25">
      <c r="A18" t="s">
        <v>34</v>
      </c>
      <c r="B18">
        <f>Sheet4!D22</f>
        <v>55847.815775226562</v>
      </c>
      <c r="C18">
        <f>Sheet4!E22</f>
        <v>7584.7815775226563</v>
      </c>
      <c r="D18" s="19">
        <f>Sheet4!G22</f>
        <v>0.86418839354345567</v>
      </c>
    </row>
    <row r="19" spans="1:5" x14ac:dyDescent="0.25">
      <c r="A19" t="s">
        <v>35</v>
      </c>
      <c r="B19">
        <f>Sheet4!D23</f>
        <v>58640.206563987886</v>
      </c>
      <c r="C19">
        <f>Sheet4!E23</f>
        <v>7864.0206563987886</v>
      </c>
      <c r="D19" s="19">
        <f>Sheet4!G23</f>
        <v>0.86589370813662447</v>
      </c>
    </row>
    <row r="20" spans="1:5" x14ac:dyDescent="0.25">
      <c r="A20" t="s">
        <v>36</v>
      </c>
      <c r="B20">
        <f>Sheet4!D24</f>
        <v>61572.21689218728</v>
      </c>
      <c r="C20">
        <f>Sheet4!E24</f>
        <v>8157.221689218728</v>
      </c>
      <c r="D20" s="19">
        <f>Sheet4!G24</f>
        <v>0.86751781727297572</v>
      </c>
    </row>
    <row r="21" spans="1:5" x14ac:dyDescent="0.25">
      <c r="A21" t="s">
        <v>37</v>
      </c>
      <c r="B21">
        <f>Sheet4!D25</f>
        <v>64650.827736796651</v>
      </c>
      <c r="C21">
        <f>Sheet4!E25</f>
        <v>8465.0827736796655</v>
      </c>
      <c r="D21" s="19">
        <f>Sheet4!G25</f>
        <v>0.86906458787902452</v>
      </c>
    </row>
    <row r="29" spans="1:5" x14ac:dyDescent="0.25">
      <c r="B29" s="31"/>
    </row>
    <row r="32" spans="1:5" ht="15.75" x14ac:dyDescent="0.25">
      <c r="C32" s="5"/>
      <c r="D32" s="5"/>
      <c r="E32" s="30"/>
    </row>
    <row r="33" spans="3:5" x14ac:dyDescent="0.25">
      <c r="C33" s="4"/>
      <c r="E33" s="14"/>
    </row>
    <row r="34" spans="3:5" x14ac:dyDescent="0.25">
      <c r="C34" s="4"/>
      <c r="E34" s="14"/>
    </row>
    <row r="35" spans="3:5" x14ac:dyDescent="0.25">
      <c r="C35" s="4"/>
      <c r="E35" s="14"/>
    </row>
    <row r="36" spans="3:5" x14ac:dyDescent="0.25">
      <c r="C36" s="4"/>
      <c r="E36" s="14"/>
    </row>
    <row r="37" spans="3:5" x14ac:dyDescent="0.25">
      <c r="C37" s="4"/>
      <c r="E37" s="14"/>
    </row>
    <row r="38" spans="3:5" x14ac:dyDescent="0.25">
      <c r="C38" s="4"/>
      <c r="E38" s="14"/>
    </row>
  </sheetData>
  <conditionalFormatting sqref="D9:D21">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7C532-8855-4D2B-955B-E7957561280A}">
  <dimension ref="A1:C19"/>
  <sheetViews>
    <sheetView topLeftCell="A13" workbookViewId="0">
      <selection activeCell="F16" sqref="F16"/>
    </sheetView>
  </sheetViews>
  <sheetFormatPr defaultRowHeight="15" x14ac:dyDescent="0.25"/>
  <cols>
    <col min="1" max="1" width="44.140625" customWidth="1"/>
    <col min="2" max="2" width="18.28515625" customWidth="1"/>
    <col min="3" max="3" width="14.5703125" customWidth="1"/>
  </cols>
  <sheetData>
    <row r="1" spans="1:3" ht="15.75" x14ac:dyDescent="0.25">
      <c r="A1" s="5" t="s">
        <v>77</v>
      </c>
    </row>
    <row r="3" spans="1:3" ht="15.75" x14ac:dyDescent="0.25">
      <c r="A3" s="5" t="s">
        <v>78</v>
      </c>
      <c r="B3" s="5" t="s">
        <v>79</v>
      </c>
      <c r="C3" s="30" t="s">
        <v>65</v>
      </c>
    </row>
    <row r="4" spans="1:3" x14ac:dyDescent="0.25">
      <c r="A4" s="4">
        <v>-0.2</v>
      </c>
      <c r="B4">
        <f>Sheet4!$C$5*(1+A4)</f>
        <v>28.8</v>
      </c>
      <c r="C4" s="14">
        <f>Sheet6!C5</f>
        <v>433333.90597818373</v>
      </c>
    </row>
    <row r="5" spans="1:3" x14ac:dyDescent="0.25">
      <c r="A5" s="4">
        <v>-0.1</v>
      </c>
      <c r="B5">
        <f>Sheet4!C5*(1+A5)</f>
        <v>32.4</v>
      </c>
      <c r="C5" s="14">
        <v>385200.51538036519</v>
      </c>
    </row>
    <row r="6" spans="1:3" x14ac:dyDescent="0.25">
      <c r="A6" s="4">
        <v>0</v>
      </c>
      <c r="B6">
        <f>Sheet4!C5*(1+A6)</f>
        <v>36</v>
      </c>
      <c r="C6" s="14">
        <v>385200.51538036519</v>
      </c>
    </row>
    <row r="7" spans="1:3" x14ac:dyDescent="0.25">
      <c r="A7" s="4">
        <v>0.1</v>
      </c>
      <c r="B7">
        <f>Sheet4!C5*(1+A7)</f>
        <v>39.6</v>
      </c>
      <c r="C7" s="14">
        <v>428520.56691840175</v>
      </c>
    </row>
    <row r="8" spans="1:3" x14ac:dyDescent="0.25">
      <c r="A8" s="4">
        <v>0.2</v>
      </c>
      <c r="B8">
        <f>Sheet4!C5*(1+A8)</f>
        <v>43.199999999999996</v>
      </c>
      <c r="C8" s="14">
        <v>523824.68030208227</v>
      </c>
    </row>
    <row r="9" spans="1:3" x14ac:dyDescent="0.25">
      <c r="A9" s="4">
        <v>0.3</v>
      </c>
      <c r="B9">
        <f>Sheet4!C5*(1+A9)</f>
        <v>46.800000000000004</v>
      </c>
      <c r="C9" s="14">
        <v>695372.08439270698</v>
      </c>
    </row>
    <row r="13" spans="1:3" ht="15.75" x14ac:dyDescent="0.25">
      <c r="A13" s="5" t="s">
        <v>80</v>
      </c>
      <c r="B13" s="5" t="s">
        <v>65</v>
      </c>
    </row>
    <row r="14" spans="1:3" x14ac:dyDescent="0.25">
      <c r="A14" s="4">
        <v>-0.2</v>
      </c>
      <c r="B14">
        <v>-52813.339059781836</v>
      </c>
    </row>
    <row r="15" spans="1:3" x14ac:dyDescent="0.25">
      <c r="A15" s="4">
        <v>-0.1</v>
      </c>
      <c r="B15">
        <v>-50406.669529890918</v>
      </c>
    </row>
    <row r="16" spans="1:3" x14ac:dyDescent="0.25">
      <c r="A16" s="4">
        <v>0</v>
      </c>
      <c r="B16">
        <v>-48000</v>
      </c>
    </row>
    <row r="17" spans="1:2" x14ac:dyDescent="0.25">
      <c r="A17" s="4">
        <v>0.1</v>
      </c>
      <c r="B17">
        <v>-45593.330470109082</v>
      </c>
    </row>
    <row r="18" spans="1:2" x14ac:dyDescent="0.25">
      <c r="A18" s="4">
        <v>0.2</v>
      </c>
      <c r="B18">
        <v>-43186.660940218164</v>
      </c>
    </row>
    <row r="19" spans="1:2" x14ac:dyDescent="0.25">
      <c r="A19" s="4">
        <v>0.3</v>
      </c>
      <c r="B19">
        <v>-40779.991410327246</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26AC0-3666-44C7-89AF-62D5AC89F3FE}">
  <dimension ref="A1:F4"/>
  <sheetViews>
    <sheetView workbookViewId="0">
      <selection activeCell="F24" sqref="F24"/>
    </sheetView>
  </sheetViews>
  <sheetFormatPr defaultRowHeight="15" x14ac:dyDescent="0.25"/>
  <cols>
    <col min="1" max="1" width="28" customWidth="1"/>
    <col min="2" max="2" width="19.5703125" customWidth="1"/>
    <col min="3" max="3" width="18.140625" customWidth="1"/>
    <col min="4" max="4" width="17.42578125" customWidth="1"/>
    <col min="5" max="5" width="14.7109375" customWidth="1"/>
    <col min="6" max="6" width="11.5703125" customWidth="1"/>
  </cols>
  <sheetData>
    <row r="1" spans="1:6" ht="15.75" x14ac:dyDescent="0.25">
      <c r="A1" s="5" t="s">
        <v>38</v>
      </c>
      <c r="B1" s="5" t="s">
        <v>81</v>
      </c>
      <c r="C1" s="5" t="s">
        <v>82</v>
      </c>
      <c r="D1" s="5" t="s">
        <v>84</v>
      </c>
      <c r="E1" s="5" t="s">
        <v>85</v>
      </c>
      <c r="F1" s="5" t="s">
        <v>86</v>
      </c>
    </row>
    <row r="2" spans="1:6" x14ac:dyDescent="0.25">
      <c r="A2" t="s">
        <v>41</v>
      </c>
      <c r="B2">
        <v>337067.12479999999</v>
      </c>
      <c r="C2">
        <v>529600.68720000004</v>
      </c>
      <c r="D2">
        <f>337067.1248-(-48000)</f>
        <v>385067.12479999999</v>
      </c>
      <c r="E2">
        <f>529600.6872-(-48000)</f>
        <v>577600.68720000004</v>
      </c>
      <c r="F2">
        <f>577600.6872-385067.1248</f>
        <v>192533.56240000005</v>
      </c>
    </row>
    <row r="3" spans="1:6" x14ac:dyDescent="0.25">
      <c r="A3" t="s">
        <v>42</v>
      </c>
      <c r="B3">
        <v>337067.12479999999</v>
      </c>
      <c r="C3">
        <v>529600.68720000004</v>
      </c>
      <c r="D3">
        <v>385067.12479999999</v>
      </c>
      <c r="E3">
        <v>577600.68720000004</v>
      </c>
      <c r="F3">
        <f>577600.6872-385067.1248</f>
        <v>192533.56240000005</v>
      </c>
    </row>
    <row r="4" spans="1:6" x14ac:dyDescent="0.25">
      <c r="A4" t="s">
        <v>83</v>
      </c>
      <c r="B4">
        <v>-3791708.1600000001</v>
      </c>
      <c r="C4">
        <v>-5930969.96</v>
      </c>
      <c r="D4">
        <f>(-3791708.16)-(-48000)</f>
        <v>-3743708.16</v>
      </c>
      <c r="E4">
        <f>(-5930969.96)-(-48000)</f>
        <v>-5882969.96</v>
      </c>
      <c r="F4">
        <f>(-5882969.96)-(-3743708.16)</f>
        <v>-2139261.7999999998</v>
      </c>
    </row>
  </sheetData>
  <sortState ref="A2:F4">
    <sortCondition descending="1" ref="F2:F4"/>
  </sortState>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F9259-63B5-4588-A5EA-EE6FCFD94276}">
  <dimension ref="A1:D14"/>
  <sheetViews>
    <sheetView workbookViewId="0">
      <selection activeCell="B5" sqref="B5"/>
    </sheetView>
  </sheetViews>
  <sheetFormatPr defaultRowHeight="15" x14ac:dyDescent="0.25"/>
  <cols>
    <col min="1" max="1" width="22.140625" customWidth="1"/>
    <col min="2" max="2" width="18.140625" customWidth="1"/>
    <col min="4" max="4" width="16.140625" customWidth="1"/>
  </cols>
  <sheetData>
    <row r="1" spans="1:4" ht="15.75" x14ac:dyDescent="0.25">
      <c r="A1" s="5" t="s">
        <v>10</v>
      </c>
      <c r="B1" s="5" t="s">
        <v>1</v>
      </c>
    </row>
    <row r="2" spans="1:4" x14ac:dyDescent="0.25">
      <c r="A2" t="s">
        <v>56</v>
      </c>
      <c r="B2">
        <f>Sheet4!C5</f>
        <v>36</v>
      </c>
    </row>
    <row r="3" spans="1:4" x14ac:dyDescent="0.25">
      <c r="A3" t="s">
        <v>87</v>
      </c>
      <c r="B3">
        <f>Sheet4!C7</f>
        <v>2000</v>
      </c>
    </row>
    <row r="4" spans="1:4" x14ac:dyDescent="0.25">
      <c r="A4" t="s">
        <v>88</v>
      </c>
      <c r="B4">
        <f>Sheet9!B3/Sheet9!B2</f>
        <v>55.555555555555557</v>
      </c>
    </row>
    <row r="5" spans="1:4" x14ac:dyDescent="0.25">
      <c r="A5" t="s">
        <v>89</v>
      </c>
      <c r="B5" s="32">
        <f>(B3/B4)+D14</f>
        <v>4036</v>
      </c>
    </row>
    <row r="14" spans="1:4" x14ac:dyDescent="0.25">
      <c r="D14">
        <f>Sheet4!C7*Sheet4!C3</f>
        <v>4000</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BCD22-D54F-425A-B7DB-1B0D0A5DAECB}">
  <dimension ref="A1:I6"/>
  <sheetViews>
    <sheetView workbookViewId="0">
      <selection activeCell="C27" sqref="C27"/>
    </sheetView>
  </sheetViews>
  <sheetFormatPr defaultRowHeight="15" x14ac:dyDescent="0.25"/>
  <cols>
    <col min="1" max="1" width="15.7109375" customWidth="1"/>
    <col min="2" max="2" width="16.85546875" customWidth="1"/>
    <col min="3" max="3" width="16.5703125" customWidth="1"/>
    <col min="8" max="8" width="15.28515625" customWidth="1"/>
    <col min="9" max="9" width="17.5703125" customWidth="1"/>
  </cols>
  <sheetData>
    <row r="1" spans="1:9" ht="15.75" x14ac:dyDescent="0.25">
      <c r="A1" s="5" t="s">
        <v>90</v>
      </c>
      <c r="B1" s="5" t="s">
        <v>72</v>
      </c>
      <c r="C1" s="5" t="s">
        <v>64</v>
      </c>
      <c r="H1" s="5" t="s">
        <v>91</v>
      </c>
      <c r="I1" s="5" t="s">
        <v>92</v>
      </c>
    </row>
    <row r="2" spans="1:9" x14ac:dyDescent="0.25">
      <c r="A2">
        <v>1000</v>
      </c>
      <c r="B2">
        <f>A2*Sheet4!C5</f>
        <v>36000</v>
      </c>
      <c r="C2">
        <f>Sheet4!C7+(A2*Sheet4!C6)</f>
        <v>122000</v>
      </c>
      <c r="H2">
        <v>3214</v>
      </c>
      <c r="I2">
        <v>0</v>
      </c>
    </row>
    <row r="3" spans="1:9" x14ac:dyDescent="0.25">
      <c r="A3">
        <v>2000</v>
      </c>
      <c r="B3">
        <f>A3*Sheet4!C5</f>
        <v>72000</v>
      </c>
      <c r="C3">
        <f>Sheet4!C7+(A3*Sheet4!C6)</f>
        <v>242000</v>
      </c>
      <c r="H3">
        <v>3214</v>
      </c>
      <c r="I3">
        <v>180000</v>
      </c>
    </row>
    <row r="4" spans="1:9" x14ac:dyDescent="0.25">
      <c r="A4">
        <v>3000</v>
      </c>
      <c r="B4">
        <f>A4*Sheet4!C5</f>
        <v>108000</v>
      </c>
      <c r="C4">
        <f>Sheet4!C7+(A4*Sheet4!C6)</f>
        <v>362000</v>
      </c>
    </row>
    <row r="5" spans="1:9" x14ac:dyDescent="0.25">
      <c r="A5">
        <v>4000</v>
      </c>
      <c r="B5">
        <f>A5*Sheet4!C5</f>
        <v>144000</v>
      </c>
      <c r="C5">
        <f>Sheet4!C7+(A5*Sheet4!C6)</f>
        <v>482000</v>
      </c>
    </row>
    <row r="6" spans="1:9" x14ac:dyDescent="0.25">
      <c r="A6">
        <v>5000</v>
      </c>
      <c r="B6">
        <f>A6*Sheet4!C5</f>
        <v>180000</v>
      </c>
      <c r="C6">
        <f>Sheet4!C7+(A6*Sheet4!C6)</f>
        <v>602000</v>
      </c>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0BCE2-7FCE-4CDB-9830-A612A016E495}">
  <dimension ref="A1:G17"/>
  <sheetViews>
    <sheetView workbookViewId="0">
      <selection activeCell="I9" sqref="I9"/>
    </sheetView>
  </sheetViews>
  <sheetFormatPr defaultRowHeight="15" x14ac:dyDescent="0.25"/>
  <cols>
    <col min="2" max="2" width="27.28515625" customWidth="1"/>
    <col min="6" max="6" width="18.42578125" customWidth="1"/>
    <col min="7" max="7" width="18.140625" customWidth="1"/>
  </cols>
  <sheetData>
    <row r="1" spans="1:7" ht="15.75" x14ac:dyDescent="0.25">
      <c r="B1" s="5" t="s">
        <v>106</v>
      </c>
      <c r="C1" s="5" t="s">
        <v>1</v>
      </c>
    </row>
    <row r="2" spans="1:7" x14ac:dyDescent="0.25">
      <c r="B2" t="s">
        <v>49</v>
      </c>
      <c r="C2">
        <v>1000</v>
      </c>
    </row>
    <row r="3" spans="1:7" x14ac:dyDescent="0.25">
      <c r="B3" t="s">
        <v>105</v>
      </c>
      <c r="C3" s="4">
        <v>0.08</v>
      </c>
    </row>
    <row r="4" spans="1:7" x14ac:dyDescent="0.25">
      <c r="B4" t="s">
        <v>110</v>
      </c>
      <c r="C4" s="14">
        <v>150000</v>
      </c>
    </row>
    <row r="5" spans="1:7" ht="15.75" x14ac:dyDescent="0.25">
      <c r="A5" s="5" t="s">
        <v>25</v>
      </c>
      <c r="B5" s="5" t="s">
        <v>1</v>
      </c>
      <c r="C5" s="5" t="s">
        <v>72</v>
      </c>
      <c r="D5" s="5" t="s">
        <v>73</v>
      </c>
      <c r="E5" s="5" t="s">
        <v>65</v>
      </c>
      <c r="F5" s="5" t="s">
        <v>107</v>
      </c>
      <c r="G5" s="5" t="s">
        <v>108</v>
      </c>
    </row>
    <row r="6" spans="1:7" x14ac:dyDescent="0.25">
      <c r="A6" t="s">
        <v>93</v>
      </c>
      <c r="B6">
        <f>$C$2</f>
        <v>1000</v>
      </c>
      <c r="C6">
        <f>B6*Sheet4!$C$5</f>
        <v>36000</v>
      </c>
      <c r="D6">
        <f>Sheet4!$C$7</f>
        <v>2000</v>
      </c>
      <c r="E6">
        <f>C6-D6-$C$4</f>
        <v>-116000</v>
      </c>
      <c r="F6">
        <f>E6</f>
        <v>-116000</v>
      </c>
      <c r="G6" t="str">
        <f>IF(F6&gt;=0, "Break-Even", " ")</f>
        <v xml:space="preserve"> </v>
      </c>
    </row>
    <row r="7" spans="1:7" x14ac:dyDescent="0.25">
      <c r="A7" t="s">
        <v>94</v>
      </c>
      <c r="B7">
        <f>B6*(1+$C$3)</f>
        <v>1080</v>
      </c>
      <c r="C7">
        <f>B7*Sheet4!$C$5</f>
        <v>38880</v>
      </c>
      <c r="D7">
        <f>Sheet4!$C$7</f>
        <v>2000</v>
      </c>
      <c r="E7">
        <f t="shared" ref="E7:E17" si="0">C7-D7</f>
        <v>36880</v>
      </c>
      <c r="F7">
        <f>F6+E7</f>
        <v>-79120</v>
      </c>
      <c r="G7" t="str">
        <f t="shared" ref="G7:G9" si="1">IF(F7&gt;=0, "Break-Even", " ")</f>
        <v xml:space="preserve"> </v>
      </c>
    </row>
    <row r="8" spans="1:7" x14ac:dyDescent="0.25">
      <c r="A8" t="s">
        <v>95</v>
      </c>
      <c r="B8">
        <f t="shared" ref="B8:B17" si="2">B7*(1+$C$3)</f>
        <v>1166.4000000000001</v>
      </c>
      <c r="C8">
        <f>B8*Sheet4!$C$5</f>
        <v>41990.400000000001</v>
      </c>
      <c r="D8">
        <f>Sheet4!$C$7</f>
        <v>2000</v>
      </c>
      <c r="E8">
        <f t="shared" si="0"/>
        <v>39990.400000000001</v>
      </c>
      <c r="F8">
        <f t="shared" ref="F8:F17" si="3">F7+E8</f>
        <v>-39129.599999999999</v>
      </c>
      <c r="G8" t="str">
        <f t="shared" si="1"/>
        <v xml:space="preserve"> </v>
      </c>
    </row>
    <row r="9" spans="1:7" x14ac:dyDescent="0.25">
      <c r="A9" t="s">
        <v>96</v>
      </c>
      <c r="B9">
        <f t="shared" si="2"/>
        <v>1259.7120000000002</v>
      </c>
      <c r="C9">
        <f>B9*Sheet4!$C$5</f>
        <v>45349.632000000005</v>
      </c>
      <c r="D9">
        <f>Sheet4!$C$7</f>
        <v>2000</v>
      </c>
      <c r="E9">
        <f t="shared" si="0"/>
        <v>43349.632000000005</v>
      </c>
      <c r="F9">
        <f t="shared" si="3"/>
        <v>4220.0320000000065</v>
      </c>
      <c r="G9" t="str">
        <f t="shared" si="1"/>
        <v>Break-Even</v>
      </c>
    </row>
    <row r="10" spans="1:7" x14ac:dyDescent="0.25">
      <c r="A10" t="s">
        <v>97</v>
      </c>
      <c r="B10">
        <f t="shared" si="2"/>
        <v>1360.4889600000004</v>
      </c>
      <c r="C10">
        <f>B10*Sheet4!$C$5</f>
        <v>48977.602560000014</v>
      </c>
      <c r="D10">
        <f>Sheet4!$C$7</f>
        <v>2000</v>
      </c>
      <c r="E10">
        <f t="shared" si="0"/>
        <v>46977.602560000014</v>
      </c>
      <c r="F10">
        <f t="shared" si="3"/>
        <v>51197.63456000002</v>
      </c>
    </row>
    <row r="11" spans="1:7" x14ac:dyDescent="0.25">
      <c r="A11" t="s">
        <v>98</v>
      </c>
      <c r="B11">
        <f t="shared" si="2"/>
        <v>1469.3280768000004</v>
      </c>
      <c r="C11">
        <f>B11*Sheet4!$C$5</f>
        <v>52895.810764800015</v>
      </c>
      <c r="D11">
        <f>Sheet4!$C$7</f>
        <v>2000</v>
      </c>
      <c r="E11">
        <f t="shared" si="0"/>
        <v>50895.810764800015</v>
      </c>
      <c r="F11">
        <f t="shared" si="3"/>
        <v>102093.44532480004</v>
      </c>
    </row>
    <row r="12" spans="1:7" x14ac:dyDescent="0.25">
      <c r="A12" t="s">
        <v>99</v>
      </c>
      <c r="B12">
        <f t="shared" si="2"/>
        <v>1586.8743229440006</v>
      </c>
      <c r="C12">
        <f>B12*Sheet4!$C$5</f>
        <v>57127.475625984021</v>
      </c>
      <c r="D12">
        <f>Sheet4!$C$7</f>
        <v>2000</v>
      </c>
      <c r="E12">
        <f t="shared" si="0"/>
        <v>55127.475625984021</v>
      </c>
      <c r="F12">
        <f t="shared" si="3"/>
        <v>157220.92095078406</v>
      </c>
    </row>
    <row r="13" spans="1:7" x14ac:dyDescent="0.25">
      <c r="A13" t="s">
        <v>100</v>
      </c>
      <c r="B13">
        <f t="shared" si="2"/>
        <v>1713.8242687795207</v>
      </c>
      <c r="C13">
        <f>B13*Sheet4!$C$5</f>
        <v>61697.673676062746</v>
      </c>
      <c r="D13">
        <f>Sheet4!$C$7</f>
        <v>2000</v>
      </c>
      <c r="E13">
        <f t="shared" si="0"/>
        <v>59697.673676062746</v>
      </c>
      <c r="F13">
        <f t="shared" si="3"/>
        <v>216918.59462684681</v>
      </c>
    </row>
    <row r="14" spans="1:7" x14ac:dyDescent="0.25">
      <c r="A14" t="s">
        <v>101</v>
      </c>
      <c r="B14">
        <f t="shared" si="2"/>
        <v>1850.9302102818824</v>
      </c>
      <c r="C14">
        <f>B14*Sheet4!$C$5</f>
        <v>66633.487570147772</v>
      </c>
      <c r="D14">
        <f>Sheet4!$C$7</f>
        <v>2000</v>
      </c>
      <c r="E14">
        <f t="shared" si="0"/>
        <v>64633.487570147772</v>
      </c>
      <c r="F14">
        <f t="shared" si="3"/>
        <v>281552.08219699457</v>
      </c>
    </row>
    <row r="15" spans="1:7" x14ac:dyDescent="0.25">
      <c r="A15" t="s">
        <v>102</v>
      </c>
      <c r="B15">
        <f t="shared" si="2"/>
        <v>1999.0046271044332</v>
      </c>
      <c r="C15">
        <f>B15*Sheet4!$C$5</f>
        <v>71964.166575759591</v>
      </c>
      <c r="D15">
        <f>Sheet4!$C$7</f>
        <v>2000</v>
      </c>
      <c r="E15">
        <f t="shared" si="0"/>
        <v>69964.166575759591</v>
      </c>
      <c r="F15">
        <f t="shared" si="3"/>
        <v>351516.24877275416</v>
      </c>
    </row>
    <row r="16" spans="1:7" x14ac:dyDescent="0.25">
      <c r="A16" t="s">
        <v>103</v>
      </c>
      <c r="B16">
        <f t="shared" si="2"/>
        <v>2158.924997272788</v>
      </c>
      <c r="C16">
        <f>B16*Sheet4!$C$5</f>
        <v>77721.29990182037</v>
      </c>
      <c r="D16">
        <f>Sheet4!$C$7</f>
        <v>2000</v>
      </c>
      <c r="E16">
        <f t="shared" si="0"/>
        <v>75721.29990182037</v>
      </c>
      <c r="F16">
        <f t="shared" si="3"/>
        <v>427237.54867457453</v>
      </c>
    </row>
    <row r="17" spans="1:6" x14ac:dyDescent="0.25">
      <c r="A17" t="s">
        <v>104</v>
      </c>
      <c r="B17">
        <f t="shared" si="2"/>
        <v>2331.6389970546111</v>
      </c>
      <c r="C17">
        <f>B17*Sheet4!$C$5</f>
        <v>83939.003893966001</v>
      </c>
      <c r="D17">
        <f>Sheet4!$C$7</f>
        <v>2000</v>
      </c>
      <c r="E17">
        <f t="shared" si="0"/>
        <v>81939.003893966001</v>
      </c>
      <c r="F17">
        <f t="shared" si="3"/>
        <v>509176.55256854056</v>
      </c>
    </row>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6DF85-4A0C-4F10-B6D9-30028F8FC3F2}">
  <dimension ref="A1:F22"/>
  <sheetViews>
    <sheetView showGridLines="0" tabSelected="1" workbookViewId="0">
      <selection activeCell="G6" sqref="G6"/>
    </sheetView>
  </sheetViews>
  <sheetFormatPr defaultRowHeight="15" x14ac:dyDescent="0.25"/>
  <cols>
    <col min="1" max="1" width="36.42578125" customWidth="1"/>
    <col min="6" max="6" width="87.140625" customWidth="1"/>
  </cols>
  <sheetData>
    <row r="1" spans="1:6" ht="15.75" x14ac:dyDescent="0.25">
      <c r="A1" s="33" t="s">
        <v>109</v>
      </c>
      <c r="F1" s="5" t="s">
        <v>111</v>
      </c>
    </row>
    <row r="15" spans="1:6" ht="15.75" x14ac:dyDescent="0.25">
      <c r="A15" s="5" t="s">
        <v>112</v>
      </c>
    </row>
    <row r="17" spans="6:6" ht="15.75" x14ac:dyDescent="0.25">
      <c r="F17" s="5" t="s">
        <v>116</v>
      </c>
    </row>
    <row r="18" spans="6:6" x14ac:dyDescent="0.25">
      <c r="F18" t="s">
        <v>113</v>
      </c>
    </row>
    <row r="19" spans="6:6" x14ac:dyDescent="0.25">
      <c r="F19" t="s">
        <v>114</v>
      </c>
    </row>
    <row r="20" spans="6:6" x14ac:dyDescent="0.25">
      <c r="F20" t="s">
        <v>115</v>
      </c>
    </row>
    <row r="22" spans="6:6" x14ac:dyDescent="0.25">
      <c r="F22" t="s">
        <v>117</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Sheet2</vt:lpstr>
      <vt:lpstr>Sheet3</vt:lpstr>
      <vt:lpstr>Sheet4</vt:lpstr>
      <vt:lpstr>Sheet5</vt:lpstr>
      <vt:lpstr>Sheet6</vt:lpstr>
      <vt:lpstr>Sheet7 - Sentivity Analysis</vt:lpstr>
      <vt:lpstr>Sheet8</vt:lpstr>
      <vt:lpstr>Sheet9</vt:lpstr>
      <vt:lpstr>Sheet10</vt:lpstr>
      <vt:lpstr>Monthly Ramp to Break-Even</vt:lpstr>
      <vt:lpstr>Sheet11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dc:creator>
  <cp:lastModifiedBy>k</cp:lastModifiedBy>
  <dcterms:created xsi:type="dcterms:W3CDTF">2025-12-02T19:09:28Z</dcterms:created>
  <dcterms:modified xsi:type="dcterms:W3CDTF">2025-12-19T20:17:06Z</dcterms:modified>
</cp:coreProperties>
</file>